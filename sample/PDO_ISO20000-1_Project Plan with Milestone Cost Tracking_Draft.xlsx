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s111018\Desktop\PDO ISO 20K\PDO Final\"/>
    </mc:Choice>
  </mc:AlternateContent>
  <xr:revisionPtr revIDLastSave="0" documentId="13_ncr:1_{519EFF80-15DC-4546-B78E-6667E3AFF373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Cover" sheetId="1" r:id="rId1"/>
    <sheet name="Project Charter" sheetId="2" r:id="rId2"/>
    <sheet name="Detailed Schedule" sheetId="4" r:id="rId3"/>
    <sheet name="Weekly Summary" sheetId="5" r:id="rId4"/>
    <sheet name="Gantt Chart" sheetId="6" r:id="rId5"/>
    <sheet name="Resource Loading" sheetId="7" r:id="rId6"/>
    <sheet name="Milestone Cost Tracking" sheetId="3" r:id="rId7"/>
    <sheet name="Estimation" sheetId="8" r:id="rId8"/>
  </sheets>
  <externalReferences>
    <externalReference r:id="rId9"/>
  </externalReferences>
  <definedNames>
    <definedName name="_xlnm._FilterDatabase" localSheetId="2" hidden="1">'Detailed Schedule'!$A$4:$P$67</definedName>
    <definedName name="_xlnm._FilterDatabase" localSheetId="4" hidden="1">'Gantt Chart'!$A$4:$AU$68</definedName>
    <definedName name="_xlnm._FilterDatabase" localSheetId="6" hidden="1">'Milestone Cost Tracking'!$A$4:$Y$10</definedName>
    <definedName name="_xlnm._FilterDatabase" localSheetId="5" hidden="1">'Resource Loading'!$A$2:$AR$66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J5" i="3"/>
  <c r="I10" i="3"/>
  <c r="I9" i="3"/>
  <c r="I8" i="3"/>
  <c r="I7" i="3"/>
  <c r="I6" i="3"/>
  <c r="I5" i="3"/>
  <c r="E62" i="8"/>
  <c r="F62" i="8"/>
  <c r="D55" i="8"/>
  <c r="D62" i="8"/>
  <c r="G62" i="8"/>
  <c r="H62" i="8"/>
  <c r="I62" i="8"/>
  <c r="B17" i="8"/>
  <c r="J62" i="8"/>
  <c r="K62" i="8"/>
  <c r="L62" i="8"/>
  <c r="M62" i="8"/>
  <c r="N62" i="8"/>
  <c r="Q62" i="8"/>
  <c r="P62" i="8"/>
  <c r="E61" i="8"/>
  <c r="F61" i="8"/>
  <c r="D61" i="8"/>
  <c r="G61" i="8"/>
  <c r="H61" i="8"/>
  <c r="I61" i="8"/>
  <c r="J61" i="8"/>
  <c r="K61" i="8"/>
  <c r="L61" i="8"/>
  <c r="M61" i="8"/>
  <c r="N61" i="8"/>
  <c r="Q61" i="8"/>
  <c r="P61" i="8"/>
  <c r="D48" i="8"/>
  <c r="D49" i="8"/>
  <c r="D50" i="8"/>
  <c r="D51" i="8"/>
  <c r="K24" i="8"/>
  <c r="K25" i="8"/>
  <c r="K26" i="8"/>
  <c r="K27" i="8"/>
  <c r="K28" i="8"/>
  <c r="K29" i="8"/>
  <c r="K30" i="8"/>
  <c r="K31" i="8"/>
  <c r="K32" i="8"/>
  <c r="K33" i="8"/>
  <c r="K34" i="8"/>
  <c r="D52" i="8"/>
  <c r="D53" i="8"/>
  <c r="D54" i="8"/>
  <c r="B18" i="8"/>
  <c r="E45" i="8"/>
  <c r="D56" i="8"/>
  <c r="D57" i="8"/>
  <c r="J34" i="8"/>
  <c r="I34" i="8"/>
  <c r="H34" i="8"/>
  <c r="G34" i="8"/>
  <c r="F34" i="8"/>
  <c r="E34" i="8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66" i="7"/>
  <c r="E68" i="6"/>
  <c r="H44" i="5"/>
  <c r="I44" i="5"/>
  <c r="H43" i="5"/>
  <c r="I43" i="5"/>
  <c r="H42" i="5"/>
  <c r="I42" i="5"/>
  <c r="H41" i="5"/>
  <c r="I41" i="5"/>
  <c r="H40" i="5"/>
  <c r="I40" i="5"/>
  <c r="H39" i="5"/>
  <c r="I39" i="5"/>
  <c r="H38" i="5"/>
  <c r="I38" i="5"/>
  <c r="H37" i="5"/>
  <c r="I37" i="5"/>
  <c r="H36" i="5"/>
  <c r="I36" i="5"/>
  <c r="H35" i="5"/>
  <c r="I35" i="5"/>
  <c r="H34" i="5"/>
  <c r="I34" i="5"/>
  <c r="H33" i="5"/>
  <c r="I33" i="5"/>
  <c r="H32" i="5"/>
  <c r="I32" i="5"/>
  <c r="H31" i="5"/>
  <c r="I31" i="5"/>
  <c r="H30" i="5"/>
  <c r="I30" i="5"/>
  <c r="H29" i="5"/>
  <c r="I29" i="5"/>
  <c r="H28" i="5"/>
  <c r="I28" i="5"/>
  <c r="H27" i="5"/>
  <c r="I27" i="5"/>
  <c r="H26" i="5"/>
  <c r="I26" i="5"/>
  <c r="H25" i="5"/>
  <c r="I25" i="5"/>
  <c r="H24" i="5"/>
  <c r="I24" i="5"/>
  <c r="H23" i="5"/>
  <c r="I23" i="5"/>
  <c r="H22" i="5"/>
  <c r="I22" i="5"/>
  <c r="H21" i="5"/>
  <c r="I21" i="5"/>
  <c r="H20" i="5"/>
  <c r="I20" i="5"/>
  <c r="H19" i="5"/>
  <c r="I19" i="5"/>
  <c r="H18" i="5"/>
  <c r="I18" i="5"/>
  <c r="H17" i="5"/>
  <c r="I17" i="5"/>
  <c r="H16" i="5"/>
  <c r="I16" i="5"/>
  <c r="H15" i="5"/>
  <c r="I15" i="5"/>
  <c r="H14" i="5"/>
  <c r="I14" i="5"/>
  <c r="H13" i="5"/>
  <c r="I13" i="5"/>
  <c r="H12" i="5"/>
  <c r="I12" i="5"/>
  <c r="H11" i="5"/>
  <c r="I11" i="5"/>
  <c r="H10" i="5"/>
  <c r="I10" i="5"/>
  <c r="H9" i="5"/>
  <c r="I9" i="5"/>
  <c r="H8" i="5"/>
  <c r="I8" i="5"/>
  <c r="H7" i="5"/>
  <c r="I7" i="5"/>
  <c r="H6" i="5"/>
  <c r="I6" i="5"/>
  <c r="H5" i="5"/>
  <c r="J11" i="3"/>
  <c r="I11" i="3"/>
  <c r="B12" i="2"/>
  <c r="B11" i="2"/>
  <c r="H45" i="5"/>
  <c r="I45" i="5"/>
  <c r="I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N4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Allocated to reconcile Resource Loading Total Planned PD with weekly loading for schedule and Gantt development.</t>
        </r>
      </text>
    </comment>
    <comment ref="AO4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Allocated to reconcile Resource Loading Total Planned PD with weekly loading for schedule and Gantt development.</t>
        </r>
      </text>
    </comment>
    <comment ref="AN4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Allocated to reconcile Resource Loading Total Planned PD with weekly loading for schedule and Gantt development.</t>
        </r>
      </text>
    </comment>
    <comment ref="AO47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Allocated to reconcile Resource Loading Total Planned PD with weekly loading for schedule and Gantt development.</t>
        </r>
      </text>
    </comment>
    <comment ref="AR63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Allocated to reconcile Resource Loading Total Planned PD with weekly loading for schedule and Gantt development.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PDO_ISO20000-1_Estimation_Draft.xlsx (Estimation and Maintenance Plan sheets) and PDO_ISO20000-1_Project Plan_ Draft_Updated.xlsx (Resource Loading sheet).</t>
        </r>
      </text>
    </comment>
  </commentList>
</comments>
</file>

<file path=xl/sharedStrings.xml><?xml version="1.0" encoding="utf-8"?>
<sst xmlns="http://schemas.openxmlformats.org/spreadsheetml/2006/main" count="1432" uniqueCount="468">
  <si>
    <t>PDO ISO/IEC 20000-1 Engagement</t>
  </si>
  <si>
    <t>Program Plan</t>
  </si>
  <si>
    <t>Program Start Date</t>
  </si>
  <si>
    <t>(Tentative)</t>
  </si>
  <si>
    <t>Planning Horizon/ Duration</t>
  </si>
  <si>
    <t>40 weeks based on Schedule Summary activity range</t>
  </si>
  <si>
    <t>Deliverables</t>
  </si>
  <si>
    <t>- Project Charter
- Detailed Schedule
- Weekly Summary
- Gantt Chart based on Resource Loading
- Resource Loading</t>
  </si>
  <si>
    <t>Project Charter - PDO ISO/IEC 20000-1 Engagement</t>
  </si>
  <si>
    <t>Prepared directly from the Resource Loading sheet in this workbook</t>
  </si>
  <si>
    <t>Charter Element</t>
  </si>
  <si>
    <t>Description</t>
  </si>
  <si>
    <t>Project Title</t>
  </si>
  <si>
    <t>PDO ISO/IEC 20000-1 Certification Engagement</t>
  </si>
  <si>
    <t>Purpose</t>
  </si>
  <si>
    <t>Plan, mobilize, assess, optimize, implement, train, audit and support certification readiness for PDO IT service management practices.</t>
  </si>
  <si>
    <t>Primary Planning Source</t>
  </si>
  <si>
    <t>Resource Loading sheet in the same workbook</t>
  </si>
  <si>
    <t>Project Start Date</t>
  </si>
  <si>
    <t>Project End Date</t>
  </si>
  <si>
    <t>Planning Duration</t>
  </si>
  <si>
    <t>40 weeks</t>
  </si>
  <si>
    <t>Total Planned Resource Loading PD</t>
  </si>
  <si>
    <t>Peak Weekly PD</t>
  </si>
  <si>
    <t>Peak FTE Equivalent</t>
  </si>
  <si>
    <t>Key Resource Types</t>
  </si>
  <si>
    <t>SME/ PM, Senior Consultant, Consultant 1, Consultant 2 and Omani Trainees</t>
  </si>
  <si>
    <t>Governance Cadence</t>
  </si>
  <si>
    <t>Weekly project status, RAID/action tracking and steering updates through project management activity.</t>
  </si>
  <si>
    <t>Success Criteria</t>
  </si>
  <si>
    <t>Completion of mobilization readiness, gap assessment, optimized documentation, implementation evidence, training, internal audit, management review and certification support.</t>
  </si>
  <si>
    <t>Project Objectives</t>
  </si>
  <si>
    <t>Objectives</t>
  </si>
  <si>
    <t>Establish engagement governance and confirm scope, stakeholders, evidence access and working calendar.</t>
  </si>
  <si>
    <t>Understand the PDO IDD operating model, service landscape, dependencies and site context before formal gap assessment.</t>
  </si>
  <si>
    <t>Execute service-wise gap assessment and optimize policies, procedures and evidence maps.</t>
  </si>
  <si>
    <t>Support implementation consulting, training, internal audit readiness, management review and certification audit response.</t>
  </si>
  <si>
    <t>Enable knowledge transfer through Omani trainee participation during execution.</t>
  </si>
  <si>
    <t>Activities</t>
  </si>
  <si>
    <t>Start Week</t>
  </si>
  <si>
    <t>End Week</t>
  </si>
  <si>
    <t>Start Date</t>
  </si>
  <si>
    <t>End Date</t>
  </si>
  <si>
    <t>Planned PD</t>
  </si>
  <si>
    <t>Initiation &amp; Governance</t>
  </si>
  <si>
    <t>Understanding of PDO Ecosystem</t>
  </si>
  <si>
    <t>PDO Team Commitment and Availability for Gap Analysis</t>
  </si>
  <si>
    <t>Mobilization and Engagement Readiness</t>
  </si>
  <si>
    <t>Project Management Activity</t>
  </si>
  <si>
    <t>Gap Assessment</t>
  </si>
  <si>
    <t>Policy &amp; Procedure Optimization</t>
  </si>
  <si>
    <t>Implementation Consulting</t>
  </si>
  <si>
    <t>Domestic Travel</t>
  </si>
  <si>
    <t>Training &amp; Enablement</t>
  </si>
  <si>
    <t>Internal Audit &amp; Readiness</t>
  </si>
  <si>
    <t>Management Review</t>
  </si>
  <si>
    <t>Certification Support</t>
  </si>
  <si>
    <t>Trainee Support</t>
  </si>
  <si>
    <t>Key Assumptions and Risks</t>
  </si>
  <si>
    <t>Impact / Mitigation</t>
  </si>
  <si>
    <t>PDO SME availability is confirmed as per planned weeks</t>
  </si>
  <si>
    <t>Slippage in availability can affect gap assessment, evidence readiness and certification support dates.</t>
  </si>
  <si>
    <t>Identification of Certification of Certification Body</t>
  </si>
  <si>
    <t>Delay in Identifiying Certifying Body may impact the project completion timelines.</t>
  </si>
  <si>
    <t>Resource loading is treated as the controlling planning baseline</t>
  </si>
  <si>
    <t>Detailed schedule and Gantt are derived from first and last non-zero weekly loading per activity.</t>
  </si>
  <si>
    <t>Domestic travel/site access is available during planned windows</t>
  </si>
  <si>
    <t>Travel and site coordination should be locked four weeks before relevant activity windows.</t>
  </si>
  <si>
    <t>Omani trainees are available throughout the indicated support window</t>
  </si>
  <si>
    <t>If trainee availability changes, knowledge transfer and evidence support effort should be rebalanced.</t>
  </si>
  <si>
    <t>RASCI Matrix</t>
  </si>
  <si>
    <t>Legend</t>
  </si>
  <si>
    <t>R = Responsible, A = Accountable, S = Support, C = Consulted, I = Informed</t>
  </si>
  <si>
    <t>Activity / Deliverable</t>
  </si>
  <si>
    <t>PDO Executive Sponsor</t>
  </si>
  <si>
    <t>PDO Project Manager</t>
  </si>
  <si>
    <t>PDO Service Owners</t>
  </si>
  <si>
    <t>PDO Process Owners</t>
  </si>
  <si>
    <t>PDO SMEs / Evidence Owners</t>
  </si>
  <si>
    <t>Engagement Lead / SME</t>
  </si>
  <si>
    <t>Senior Consultant</t>
  </si>
  <si>
    <t>Consultant 1</t>
  </si>
  <si>
    <t>Consultant 2</t>
  </si>
  <si>
    <t>Omani Trainees</t>
  </si>
  <si>
    <t>Certification Body</t>
  </si>
  <si>
    <t>Project Initiation &amp; Governance</t>
  </si>
  <si>
    <t>A</t>
  </si>
  <si>
    <t>R</t>
  </si>
  <si>
    <t>C</t>
  </si>
  <si>
    <t>I</t>
  </si>
  <si>
    <t>S</t>
  </si>
  <si>
    <t>PDO Team Commitment and Workshop Calendar</t>
  </si>
  <si>
    <t>Project Management, RAID and Reporting</t>
  </si>
  <si>
    <t>A/R</t>
  </si>
  <si>
    <t>Domestic Site Travel Coordination</t>
  </si>
  <si>
    <t>Omani Trainee Support and Knowledge Transfer</t>
  </si>
  <si>
    <t>R/S</t>
  </si>
  <si>
    <t>RASCI Interpretation Note</t>
  </si>
  <si>
    <t>Accountable ownership remains with PDO for decisions, approvals and availability commitments. Consulting resources are responsible/supporting for delivery activities as per the Resource Loading baseline.</t>
  </si>
  <si>
    <t>Milestone Cost Tracking - PDO ISO/IEC 20000-1 Project Plan</t>
  </si>
  <si>
    <t>Currency</t>
  </si>
  <si>
    <t>OMR</t>
  </si>
  <si>
    <t>Using Oman Resources + Omani Trainees</t>
  </si>
  <si>
    <t>Using Indian Resources + Omani Trainees</t>
  </si>
  <si>
    <t>Base Travel / Logistics</t>
  </si>
  <si>
    <t>Domestic Travel Expense</t>
  </si>
  <si>
    <t>Contingency %</t>
  </si>
  <si>
    <t>Milestone ID</t>
  </si>
  <si>
    <t>Milestone Phase</t>
  </si>
  <si>
    <t>Included Activities / Scope</t>
  </si>
  <si>
    <t>SME PD</t>
  </si>
  <si>
    <t>Consultant PD</t>
  </si>
  <si>
    <t>Trainee PD</t>
  </si>
  <si>
    <t>Total PD</t>
  </si>
  <si>
    <t>Payment Milestone %</t>
  </si>
  <si>
    <t>Planned Invoice Amount - Oman</t>
  </si>
  <si>
    <t>Planned Invoice Amount - India</t>
  </si>
  <si>
    <t>Invoice Status</t>
  </si>
  <si>
    <t>M1</t>
  </si>
  <si>
    <t>Planned</t>
  </si>
  <si>
    <t>M2</t>
  </si>
  <si>
    <t>Gap Assessment &amp; Baseline Readiness</t>
  </si>
  <si>
    <t>M3</t>
  </si>
  <si>
    <t>M4</t>
  </si>
  <si>
    <t>M5</t>
  </si>
  <si>
    <t>M6</t>
  </si>
  <si>
    <t>Certification Support &amp; Closure</t>
  </si>
  <si>
    <t>Certification Support; Domestic Travel</t>
  </si>
  <si>
    <t>TOTAL</t>
  </si>
  <si>
    <t>Detailed Schedule - Derived from Resource Loading</t>
  </si>
  <si>
    <t>Start and end weeks are calculated from the first and last non-zero weekly loading for each activity</t>
  </si>
  <si>
    <t>ID</t>
  </si>
  <si>
    <t>Phase</t>
  </si>
  <si>
    <t>Activity</t>
  </si>
  <si>
    <t>Service / Scope</t>
  </si>
  <si>
    <t>Resource Type</t>
  </si>
  <si>
    <t>Loaded PD</t>
  </si>
  <si>
    <t>Variance PD</t>
  </si>
  <si>
    <t>Duration Weeks</t>
  </si>
  <si>
    <t>Predecessor / Dependency</t>
  </si>
  <si>
    <t>Key Deliverable</t>
  </si>
  <si>
    <t>Status / Remarks</t>
  </si>
  <si>
    <t>Kick-off, scope confirmation, governance, evidence tracker and working calendar</t>
  </si>
  <si>
    <t>All services</t>
  </si>
  <si>
    <t>SME</t>
  </si>
  <si>
    <t>Project approval</t>
  </si>
  <si>
    <t>Project charter, governance cadence, kickoff pack and evidence tracker</t>
  </si>
  <si>
    <t>Understand IDD operating model, service landscape, stakeholders, dependencies, suppliers and site context</t>
  </si>
  <si>
    <t>PDO IDD ecosystem assessment note, stakeholder map and service landscape summary</t>
  </si>
  <si>
    <t>Confirm service owners, process owners, SME participation, evidence owners and workshop calendar</t>
  </si>
  <si>
    <t>Confirmed service/process owner availability and gap assessment workshop calendar</t>
  </si>
  <si>
    <t>Onboarding, access readiness, evidence request follow-up, questionnaire clarification and site/audit coordination</t>
  </si>
  <si>
    <t>Mobilization readiness confirmation, access readiness and evidence request tracker</t>
  </si>
  <si>
    <t>Governance tracking, status reporting, issues, risks, stakeholder communication and coordination</t>
  </si>
  <si>
    <t>SME / PM</t>
  </si>
  <si>
    <t>Ongoing governance</t>
  </si>
  <si>
    <t>Weekly status report, RAID log, action tracker and steering updates</t>
  </si>
  <si>
    <t>Gap Assessment - Infrastructure Services</t>
  </si>
  <si>
    <t>Infrastructure Services</t>
  </si>
  <si>
    <t>Service-level gap observations, evidence review results and prioritized action list</t>
  </si>
  <si>
    <t>Gap Assessment - End User Support</t>
  </si>
  <si>
    <t>End User Support</t>
  </si>
  <si>
    <t>Gap Assessment - Application Support</t>
  </si>
  <si>
    <t>Application Support</t>
  </si>
  <si>
    <t>Gap Assessment - Field Communication Systems</t>
  </si>
  <si>
    <t>Field Communication Systems</t>
  </si>
  <si>
    <t>Gap Assessment - Data Centre</t>
  </si>
  <si>
    <t>Data Centre</t>
  </si>
  <si>
    <t>Gap Assessment - SAP Support</t>
  </si>
  <si>
    <t>SAP Support</t>
  </si>
  <si>
    <t>Gap Assessment - Network Services</t>
  </si>
  <si>
    <t>Network Services</t>
  </si>
  <si>
    <t>Gap Assessment - Cyber Security Operations</t>
  </si>
  <si>
    <t>Cyber Security Operations</t>
  </si>
  <si>
    <t>Policy &amp; Procedure Optimization - Infrastructure Services</t>
  </si>
  <si>
    <t>Sr Consultant</t>
  </si>
  <si>
    <t>Gap Assessment outputs</t>
  </si>
  <si>
    <t>Optimized policies, procedures, process maps and evidence mapping</t>
  </si>
  <si>
    <t>Policy &amp; Procedure Optimization - End User Support</t>
  </si>
  <si>
    <t>Policy &amp; Procedure Optimization - Application Support</t>
  </si>
  <si>
    <t>Policy &amp; Procedure Optimization - Field Communication Systems</t>
  </si>
  <si>
    <t>Policy &amp; Procedure Optimization - Data Centre</t>
  </si>
  <si>
    <t>Policy &amp; Procedure Optimization - SAP Support</t>
  </si>
  <si>
    <t>Policy &amp; Procedure Optimization - Network Services</t>
  </si>
  <si>
    <t>Policy &amp; Procedure Optimization - Cyber Security Operations</t>
  </si>
  <si>
    <t>Implementation Consulting - Infrastructure Services</t>
  </si>
  <si>
    <t>Approved optimized documents and gap action plan</t>
  </si>
  <si>
    <t>Implemented service management practices, evidence records and operationalised controls</t>
  </si>
  <si>
    <t>Domestic Travel for Implementation- 4 Sites North</t>
  </si>
  <si>
    <t>Confirmed site access and travel calendar</t>
  </si>
  <si>
    <t>Site visit coordination log, travel evidence and site support notes</t>
  </si>
  <si>
    <t>Domestic Travel for Implementation- 4 Sites South</t>
  </si>
  <si>
    <t>Implementation Consulting - End User Support</t>
  </si>
  <si>
    <t>Implementation Consulting - Application Support</t>
  </si>
  <si>
    <t>Implementation Consulting - Field Communication Systems</t>
  </si>
  <si>
    <t>Implementation Consulting - Data Centre</t>
  </si>
  <si>
    <t>Implementation Consulting - SAP Support</t>
  </si>
  <si>
    <t>Implementation Consulting - Network Services</t>
  </si>
  <si>
    <t>Implementation Consulting - Cyber Security Operations</t>
  </si>
  <si>
    <t>Training &amp; Enablement - Infrastructure Services</t>
  </si>
  <si>
    <t>Policy / process availability and implementation readiness</t>
  </si>
  <si>
    <t>Awareness sessions, process owner enablement and attendance records</t>
  </si>
  <si>
    <t>Training &amp; Enablement - End User Support</t>
  </si>
  <si>
    <t>Training &amp; Enablement - Application Support</t>
  </si>
  <si>
    <t>Training &amp; Enablement - Field Communication Systems</t>
  </si>
  <si>
    <t>Training &amp; Enablement - Data Centre</t>
  </si>
  <si>
    <t>Training &amp; Enablement - SAP Support</t>
  </si>
  <si>
    <t>Training &amp; Enablement - Network Services</t>
  </si>
  <si>
    <t>Training &amp; Enablement - Cyber Security Operations</t>
  </si>
  <si>
    <t>Internal Audit &amp; Readiness - Infrastructure Services</t>
  </si>
  <si>
    <t>Implementation evidence readiness</t>
  </si>
  <si>
    <t>Internal audit report, readiness assessment and corrective action tracker</t>
  </si>
  <si>
    <t>Internal Audit &amp; Readiness - End User Support</t>
  </si>
  <si>
    <t>Domestic Travel for Internal Audit- 4 Sites North</t>
  </si>
  <si>
    <t>Internal Audit &amp; Readiness - Application Support</t>
  </si>
  <si>
    <t>Internal Audit &amp; Readiness - Field Communication Systems</t>
  </si>
  <si>
    <t>Internal Audit &amp; Readiness - Data Centre</t>
  </si>
  <si>
    <t>Internal Audit &amp; Readiness - SAP Support</t>
  </si>
  <si>
    <t>Internal Audit &amp; Readiness - Network Services</t>
  </si>
  <si>
    <t>Internal Audit &amp; Readiness - Cyber Security Operations</t>
  </si>
  <si>
    <t>Management review pack, minutes and management action tracker</t>
  </si>
  <si>
    <t>Certification Support - Infrastructure Services</t>
  </si>
  <si>
    <t>Management Review and readiness closure</t>
  </si>
  <si>
    <t>Certification audit support pack, auditor response log and closure evidence</t>
  </si>
  <si>
    <t>Certification Support - End User Support</t>
  </si>
  <si>
    <t>Domestic Travel for Certification Support- 4 Sites North</t>
  </si>
  <si>
    <t>Certification Support - Application Support</t>
  </si>
  <si>
    <t>Certification Support - Field Communication Systems</t>
  </si>
  <si>
    <t>Certification Support - Data Centre</t>
  </si>
  <si>
    <t>Certification Support - SAP Support</t>
  </si>
  <si>
    <t>Certification Support - Network Services</t>
  </si>
  <si>
    <t>Certification Support - Cyber Security Operations</t>
  </si>
  <si>
    <t>Omani Trainee 1</t>
  </si>
  <si>
    <t>Trainee</t>
  </si>
  <si>
    <t>Mobilization and trainee onboarding</t>
  </si>
  <si>
    <t>Trainee activity log, knowledge transfer records and evidence support output</t>
  </si>
  <si>
    <t>Omani Trainee 2</t>
  </si>
  <si>
    <t>Weekly Summary and Resource Loading Profile</t>
  </si>
  <si>
    <t>Weekly totals derived from the Resource Loading sheet</t>
  </si>
  <si>
    <t>Week</t>
  </si>
  <si>
    <t>Week Start</t>
  </si>
  <si>
    <t>Week End</t>
  </si>
  <si>
    <t>Travel PD</t>
  </si>
  <si>
    <t>Total FTE</t>
  </si>
  <si>
    <t>Key Active Activities</t>
  </si>
  <si>
    <t>Initiation &amp; Governance; Understanding of PDO Ecosystem</t>
  </si>
  <si>
    <t>PDO Team Commitment and Availability for Gap Analysis; Mobilization and Engagement Readiness; Project Management Activity</t>
  </si>
  <si>
    <t>Project Management Activity; Gap Assessment</t>
  </si>
  <si>
    <t>Project Management Activity; Gap Assessment; Trainee Support</t>
  </si>
  <si>
    <t>Project Management Activity; Policy &amp; Procedure Optimization; Trainee Support</t>
  </si>
  <si>
    <t>Project Management Activity; Policy &amp; Procedure Optimization; Implementation Consulting; Trainee Support</t>
  </si>
  <si>
    <t>Project Management Activity; Implementation Consulting; Domestic Travel; Trainee Support</t>
  </si>
  <si>
    <t>Implementation Consulting; Domestic Travel; Training &amp; Enablement; Trainee Support</t>
  </si>
  <si>
    <t>Project Management Activity; Implementation Consulting; Domestic Travel; Training &amp; Enablement; Trainee Support</t>
  </si>
  <si>
    <t>Implementation Consulting; Internal Audit &amp; Readiness; Trainee Support</t>
  </si>
  <si>
    <t>Implementation Consulting; Internal Audit &amp; Readiness; Domestic Travel; Trainee Support</t>
  </si>
  <si>
    <t>Project Management Activity; Internal Audit &amp; Readiness; Domestic Travel; Trainee Support</t>
  </si>
  <si>
    <t>Project Management Activity; Management Review; Trainee Support</t>
  </si>
  <si>
    <t>Certification Support; Domestic Travel; Trainee Support</t>
  </si>
  <si>
    <t>Gantt Chart - Derived from Resource Loading</t>
  </si>
  <si>
    <t>Bars represent active weeks from the weekly resource loading baseline</t>
  </si>
  <si>
    <t>W1
16-Sep</t>
  </si>
  <si>
    <t>W2
23-Sep</t>
  </si>
  <si>
    <t>W3
30-Sep</t>
  </si>
  <si>
    <t>W4
07-Oct</t>
  </si>
  <si>
    <t>W5
14-Oct</t>
  </si>
  <si>
    <t>W6
21-Oct</t>
  </si>
  <si>
    <t>W7
28-Oct</t>
  </si>
  <si>
    <t>W8
04-Nov</t>
  </si>
  <si>
    <t>W9
11-Nov</t>
  </si>
  <si>
    <t>W10
18-Nov</t>
  </si>
  <si>
    <t>W11
25-Nov</t>
  </si>
  <si>
    <t>W12
02-Dec</t>
  </si>
  <si>
    <t>W13
09-Dec</t>
  </si>
  <si>
    <t>W14
16-Dec</t>
  </si>
  <si>
    <t>W15
23-Dec</t>
  </si>
  <si>
    <t>W16
30-Dec</t>
  </si>
  <si>
    <t>W17
06-Jan</t>
  </si>
  <si>
    <t>W18
13-Jan</t>
  </si>
  <si>
    <t>W19
20-Jan</t>
  </si>
  <si>
    <t>W20
27-Jan</t>
  </si>
  <si>
    <t>W21
03-Feb</t>
  </si>
  <si>
    <t>W22
10-Feb</t>
  </si>
  <si>
    <t>W23
17-Feb</t>
  </si>
  <si>
    <t>W24
24-Feb</t>
  </si>
  <si>
    <t>W25
03-Mar</t>
  </si>
  <si>
    <t>W26
10-Mar</t>
  </si>
  <si>
    <t>W27
17-Mar</t>
  </si>
  <si>
    <t>W28
24-Mar</t>
  </si>
  <si>
    <t>W29
31-Mar</t>
  </si>
  <si>
    <t>W30
07-Apr</t>
  </si>
  <si>
    <t>W31
14-Apr</t>
  </si>
  <si>
    <t>W32
21-Apr</t>
  </si>
  <si>
    <t>W33
28-Apr</t>
  </si>
  <si>
    <t>W34
05-May</t>
  </si>
  <si>
    <t>W35
12-May</t>
  </si>
  <si>
    <t>W36
19-May</t>
  </si>
  <si>
    <t>W37
26-May</t>
  </si>
  <si>
    <t>W38
02-Jun</t>
  </si>
  <si>
    <t>W39
09-Jun</t>
  </si>
  <si>
    <t>W40
16-Jun</t>
  </si>
  <si>
    <t>Role / Activity</t>
  </si>
  <si>
    <t>Source Phase</t>
  </si>
  <si>
    <t>Total Planned PD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</si>
  <si>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</si>
  <si>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</si>
  <si>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</si>
  <si>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</si>
  <si>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</si>
  <si>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</si>
  <si>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</si>
  <si>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</si>
  <si>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</si>
  <si>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</si>
  <si>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</si>
  <si>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</si>
  <si>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</si>
  <si>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</si>
  <si>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</si>
  <si>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</si>
  <si>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</si>
  <si>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</si>
  <si>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</si>
  <si>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</si>
  <si>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</si>
  <si>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</si>
  <si>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</si>
  <si>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</si>
  <si>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</si>
  <si>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</si>
  <si>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</si>
  <si>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</si>
  <si>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</si>
  <si>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</si>
  <si>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</si>
  <si>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</si>
  <si>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</si>
  <si>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</si>
  <si>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</si>
  <si>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</si>
  <si>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</si>
  <si>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</si>
  <si>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</si>
  <si>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</si>
  <si>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Implementation Support</t>
  </si>
  <si>
    <t>Internal Audit Completion</t>
  </si>
  <si>
    <t>PDO ISO/IEC 20000-1 Estimation</t>
  </si>
  <si>
    <t>Global Inputs</t>
  </si>
  <si>
    <t>Editable start date</t>
  </si>
  <si>
    <t>Total Project Duration</t>
  </si>
  <si>
    <t>40 Weeks</t>
  </si>
  <si>
    <t>Overall schedule- 40 Weeks</t>
  </si>
  <si>
    <t>SME Rate - Oman Resource (OMR/PD)</t>
  </si>
  <si>
    <t>Lead Consultant / ISO 20000 SME</t>
  </si>
  <si>
    <t>Consultant Rate - Oman Resource (OMR/PD)</t>
  </si>
  <si>
    <t>Implementation / documentation consultant</t>
  </si>
  <si>
    <t>Omani Trainee Rate (OMR/PD)</t>
  </si>
  <si>
    <t>Assumed rate for two Omani trainees</t>
  </si>
  <si>
    <t>SME Rate - Indian Resource (OMR/PD)</t>
  </si>
  <si>
    <t>Indian Resource</t>
  </si>
  <si>
    <t>Consultant Rate - Indian Resource (OMR/PD)</t>
  </si>
  <si>
    <t>Travel / Logistics - Oman Resource (OMR) per Resource</t>
  </si>
  <si>
    <t>Local logistics placeholder</t>
  </si>
  <si>
    <t>Travel / Logistics - Indian Resource (OMR) per Resource</t>
  </si>
  <si>
    <t>Room 3000 + Travel 600 as per prior assumption</t>
  </si>
  <si>
    <t>Domestic To and Fro charge through Air per Travel</t>
  </si>
  <si>
    <t>Total 4 Sites. One domestic Air travel will be done and other sites will be connected through road transport.</t>
  </si>
  <si>
    <t># of Domestic Air Travels</t>
  </si>
  <si>
    <t xml:space="preserve">Travel to North and South through Air and use Road Transport for reaching other 3 sites. </t>
  </si>
  <si>
    <t># of Domestic Trips</t>
  </si>
  <si>
    <t xml:space="preserve">3 Travels - 1 for implementation, 1 for Internal Audit and 1 External Audit </t>
  </si>
  <si>
    <t>Total Domestic Travel Expense (Air &amp; Road Transport)</t>
  </si>
  <si>
    <t>Domestic travel expense based on 3 travel cycles. Additive to base travel/logistics in commercial summary.</t>
  </si>
  <si>
    <t>Domestic Local Road Travel Effort - 8 Sites</t>
  </si>
  <si>
    <t>8 sites x 1 PD local road travel per site = 8 PD. Effort is included in SME effort and costed separately for visibility.</t>
  </si>
  <si>
    <t>Applied to consulting costs</t>
  </si>
  <si>
    <t>Certification Body Cost Placeholder (OMR)</t>
  </si>
  <si>
    <t>PDO Scope</t>
  </si>
  <si>
    <t>Commercial currency</t>
  </si>
  <si>
    <t>S.No</t>
  </si>
  <si>
    <t>Service Name</t>
  </si>
  <si>
    <t>Resource Input</t>
  </si>
  <si>
    <t>Service Description</t>
  </si>
  <si>
    <t>Gap Analysis PD</t>
  </si>
  <si>
    <t>Policy &amp; Procedure PD</t>
  </si>
  <si>
    <t>Implementation PD</t>
  </si>
  <si>
    <t>Training PD</t>
  </si>
  <si>
    <t>Internal Audit PD</t>
  </si>
  <si>
    <t>Certification Support PD</t>
  </si>
  <si>
    <t>Total Service PD</t>
  </si>
  <si>
    <t>Remarks</t>
  </si>
  <si>
    <t>15+</t>
  </si>
  <si>
    <t>Hosting, Database, Storage, Back-up, AD, etc.</t>
  </si>
  <si>
    <t>Service effort as per given input.</t>
  </si>
  <si>
    <t>50+</t>
  </si>
  <si>
    <t>ServiceDesk &amp; Hardware &amp; Asset Management</t>
  </si>
  <si>
    <t>Cloud Services</t>
  </si>
  <si>
    <t>Scattered across Apps Team</t>
  </si>
  <si>
    <t>Cloud Hosting coordination services</t>
  </si>
  <si>
    <t>Zero effort per input; included in Application Support / not separately estimated.</t>
  </si>
  <si>
    <t>50+ (incl. Contractors)</t>
  </si>
  <si>
    <t>App Development, testing, run &amp; maintain</t>
  </si>
  <si>
    <t>10+</t>
  </si>
  <si>
    <t>WiMAX &amp; Tetra Services</t>
  </si>
  <si>
    <t>7+</t>
  </si>
  <si>
    <t>Data Center Facilities/Infrastructure Management &amp; Monitoring</t>
  </si>
  <si>
    <t>SAP Basis &amp; ABAP</t>
  </si>
  <si>
    <t>5+</t>
  </si>
  <si>
    <t>Network &amp; Voice Collaborations</t>
  </si>
  <si>
    <t>Digital Platforms</t>
  </si>
  <si>
    <t>Included in App Support</t>
  </si>
  <si>
    <t>NA</t>
  </si>
  <si>
    <t>SOC, End-Point Sec, Threat Intell, etc.</t>
  </si>
  <si>
    <t>Program Management Effort</t>
  </si>
  <si>
    <t>Program Management</t>
  </si>
  <si>
    <t>Scope</t>
  </si>
  <si>
    <t>Effort PD</t>
  </si>
  <si>
    <t>C1</t>
  </si>
  <si>
    <t>Kick-off, scope confirmation, governance, evidence tracker and schedule planning.</t>
  </si>
  <si>
    <t>C2</t>
  </si>
  <si>
    <t>Understand PDO organization context, IDD operating model, service landscape, stakeholder structure, technology ecosystem, supplier interfaces, service dependencies and site context before formal gap assessment.</t>
  </si>
  <si>
    <t>C3</t>
  </si>
  <si>
    <t>Obtain management and team commitment for gap assessment workshops, confirm PDO SME availability, service owner participation, process owner nominations, evidence owners and workshop calendar.</t>
  </si>
  <si>
    <t>C4</t>
  </si>
  <si>
    <t>Mobilization covers onboarding, access readiness, evidence request follow-up, questionnaire clarification, detailed schedule finalization, site/audit coordination and readiness for gap analysis.</t>
  </si>
  <si>
    <t>C5</t>
  </si>
  <si>
    <t>Management Review Facilitation</t>
  </si>
  <si>
    <t>Management review preparation, facilitation, minutes and action tracking.</t>
  </si>
  <si>
    <t>C6</t>
  </si>
  <si>
    <t>Project Tracking</t>
  </si>
  <si>
    <t>Project management, governance tracking, coordination, status reporting, issue/risk follow-up and stakeholder communication.</t>
  </si>
  <si>
    <t>C7</t>
  </si>
  <si>
    <t>Two Omani Trainees during Implementation</t>
  </si>
  <si>
    <t>Implementation phase</t>
  </si>
  <si>
    <t>2 trainees x 5 PD/week x 25 weeks for implementation assistance and knowledge transfer.</t>
  </si>
  <si>
    <t>Omani Trainee</t>
  </si>
  <si>
    <t>C8</t>
  </si>
  <si>
    <t>Domestic Site Travel / Local Road Travel</t>
  </si>
  <si>
    <t>8 sites</t>
  </si>
  <si>
    <t>Local road travel effort for 8 sites at 1 PD per site. Supports site familiarisation, implementation coordination, internal audit readiness and certification preparation logistics. Total 3 Trips</t>
  </si>
  <si>
    <t>SME / Travel</t>
  </si>
  <si>
    <t>Effort Summary</t>
  </si>
  <si>
    <t>Project Initiation &amp; Governance PD</t>
  </si>
  <si>
    <t>Understanding of PDO Ecosystem PD</t>
  </si>
  <si>
    <t>PDO Team Commitment and Gap Readiness PD</t>
  </si>
  <si>
    <t>Mobilization &amp; Engagement Readiness PD</t>
  </si>
  <si>
    <t>Service Management Lifecycle Effort PD</t>
  </si>
  <si>
    <t>Management Review PD</t>
  </si>
  <si>
    <t>Project Management Activity PD</t>
  </si>
  <si>
    <t>Omani Trainee Support PD</t>
  </si>
  <si>
    <t>Domestic Site Travel Effort PD</t>
  </si>
  <si>
    <t>Total Programme Effort PD</t>
  </si>
  <si>
    <t>Commercial Summary</t>
  </si>
  <si>
    <t>Resource Model</t>
  </si>
  <si>
    <t>SME Effort PD</t>
  </si>
  <si>
    <t>Consultant Effort PD</t>
  </si>
  <si>
    <t>Trainee Effort PD</t>
  </si>
  <si>
    <t>SME Rate</t>
  </si>
  <si>
    <t>Consultant Rate</t>
  </si>
  <si>
    <t>Trainee Rate</t>
  </si>
  <si>
    <t>Consulting Cost</t>
  </si>
  <si>
    <t>Total Program Cost</t>
  </si>
  <si>
    <t>Total Program Cost with Contigency</t>
  </si>
  <si>
    <t>6 Months Maintenance Cost</t>
  </si>
  <si>
    <t>Total incl. Maintenance</t>
  </si>
  <si>
    <t>Gross Margin %</t>
  </si>
  <si>
    <t>Total Program Cost with GM</t>
  </si>
  <si>
    <t>Total Program Cost Incl. Maintenance with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</si>
</sst>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#"/>
    <numFmt numFmtId="165" formatCode="dd\-mmm\-yyyy"/>
    <numFmt numFmtId="166" formatCode="0.0"/>
    <numFmt numFmtId="168" formatCode="0.0%"/>
    <numFmt numFmtId="169" formatCode="#,##0\ &quot;OMR&quot;"/>
    <numFmt numFmtId="170" formatCode="#,##0.0\ &quot;OMR&quot;"/>
    <numFmt numFmtId="171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name val="Calibri"/>
    </font>
    <font>
      <b/>
      <sz val="14"/>
      <color rgb="FFFFFFFF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00A6A6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5B9BD5"/>
      </patternFill>
    </fill>
    <fill>
      <patternFill patternType="solid">
        <fgColor rgb="FF548235"/>
      </patternFill>
    </fill>
    <fill>
      <patternFill patternType="solid">
        <fgColor rgb="FFA9D18E"/>
      </patternFill>
    </fill>
    <fill>
      <patternFill patternType="solid">
        <fgColor rgb="FF7F7F7F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4B183"/>
      </patternFill>
    </fill>
    <fill>
      <patternFill patternType="solid">
        <fgColor rgb="FFFFC000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8E7CC3"/>
      </patternFill>
    </fill>
    <fill>
      <patternFill patternType="solid">
        <fgColor rgb="FFF2F2F2"/>
      </patternFill>
    </fill>
    <fill>
      <patternFill patternType="solid">
        <fgColor theme="3" tint="0.79995117038483843"/>
        <bgColor indexed="65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08C9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D9EAD3"/>
      </patternFill>
    </fill>
    <fill>
      <patternFill patternType="solid">
        <fgColor rgb="FF92D050"/>
      </patternFill>
    </fill>
    <fill>
      <patternFill patternType="solid">
        <fgColor rgb="FF0F6B78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rgb="FFE7E6E6"/>
      </left>
      <right style="hair">
        <color rgb="FFE7E6E6"/>
      </right>
      <top/>
      <bottom style="hair">
        <color rgb="FFE7E6E6"/>
      </bottom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D9E1F2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164" fontId="0" fillId="5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horizontal="center" vertical="center" wrapText="1"/>
    </xf>
    <xf numFmtId="164" fontId="0" fillId="14" borderId="1" xfId="0" applyNumberFormat="1" applyFill="1" applyBorder="1" applyAlignment="1">
      <alignment horizontal="center" vertical="center" wrapText="1"/>
    </xf>
    <xf numFmtId="164" fontId="0" fillId="15" borderId="1" xfId="0" applyNumberFormat="1" applyFill="1" applyBorder="1" applyAlignment="1">
      <alignment horizontal="center" vertical="center" wrapText="1"/>
    </xf>
    <xf numFmtId="164" fontId="0" fillId="16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4" fillId="12" borderId="2" xfId="0" applyFont="1" applyFill="1" applyBorder="1" applyAlignment="1">
      <alignment vertical="top" wrapText="1"/>
    </xf>
    <xf numFmtId="0" fontId="3" fillId="13" borderId="2" xfId="0" applyFont="1" applyFill="1" applyBorder="1" applyAlignment="1">
      <alignment vertical="top" wrapText="1"/>
    </xf>
    <xf numFmtId="0" fontId="3" fillId="14" borderId="2" xfId="0" applyFont="1" applyFill="1" applyBorder="1" applyAlignment="1">
      <alignment vertical="top" wrapText="1"/>
    </xf>
    <xf numFmtId="0" fontId="3" fillId="15" borderId="2" xfId="0" applyFont="1" applyFill="1" applyBorder="1" applyAlignment="1">
      <alignment vertical="top" wrapText="1"/>
    </xf>
    <xf numFmtId="0" fontId="3" fillId="16" borderId="2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vertical="center" wrapText="1"/>
    </xf>
    <xf numFmtId="0" fontId="3" fillId="16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horizontal="center" vertical="center" wrapText="1"/>
    </xf>
    <xf numFmtId="166" fontId="0" fillId="4" borderId="2" xfId="0" applyNumberForma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vertical="center" wrapText="1"/>
    </xf>
    <xf numFmtId="0" fontId="3" fillId="15" borderId="0" xfId="0" applyFont="1" applyFill="1" applyAlignment="1">
      <alignment vertical="center" wrapText="1"/>
    </xf>
    <xf numFmtId="166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5" fontId="0" fillId="0" borderId="3" xfId="0" applyNumberForma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66" fontId="0" fillId="0" borderId="3" xfId="0" applyNumberFormat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165" fontId="0" fillId="0" borderId="3" xfId="0" applyNumberFormat="1" applyBorder="1" applyAlignment="1">
      <alignment horizontal="center" vertical="top" wrapText="1"/>
    </xf>
    <xf numFmtId="166" fontId="0" fillId="0" borderId="3" xfId="0" applyNumberFormat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4" fillId="12" borderId="3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5" borderId="3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13" fillId="0" borderId="3" xfId="0" applyFont="1" applyBorder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0" fontId="0" fillId="0" borderId="10" xfId="0" applyBorder="1" applyAlignment="1">
      <alignment vertical="top" wrapText="1"/>
    </xf>
    <xf numFmtId="165" fontId="0" fillId="0" borderId="10" xfId="0" applyNumberFormat="1" applyBorder="1" applyAlignment="1">
      <alignment vertical="top" wrapText="1"/>
    </xf>
    <xf numFmtId="0" fontId="0" fillId="24" borderId="10" xfId="0" applyFill="1" applyBorder="1" applyAlignment="1">
      <alignment vertical="top" wrapText="1"/>
    </xf>
    <xf numFmtId="0" fontId="12" fillId="21" borderId="3" xfId="0" applyFont="1" applyFill="1" applyBorder="1" applyAlignment="1">
      <alignment horizontal="left" vertical="top" wrapText="1"/>
    </xf>
    <xf numFmtId="0" fontId="3" fillId="20" borderId="3" xfId="0" applyFont="1" applyFill="1" applyBorder="1" applyAlignment="1">
      <alignment horizontal="left" vertical="top" wrapText="1"/>
    </xf>
    <xf numFmtId="0" fontId="9" fillId="21" borderId="3" xfId="0" applyFont="1" applyFill="1" applyBorder="1" applyAlignment="1">
      <alignment horizontal="left" vertical="top" wrapText="1"/>
    </xf>
    <xf numFmtId="0" fontId="3" fillId="20" borderId="3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0" borderId="10" xfId="0" applyFont="1" applyFill="1" applyBorder="1" applyAlignment="1">
      <alignment horizontal="left" vertical="top" wrapText="1"/>
    </xf>
    <xf numFmtId="0" fontId="9" fillId="21" borderId="10" xfId="0" applyFont="1" applyFill="1" applyBorder="1" applyAlignment="1">
      <alignment horizontal="left" vertical="top" wrapText="1"/>
    </xf>
    <xf numFmtId="0" fontId="0" fillId="27" borderId="10" xfId="0" applyFill="1" applyBorder="1" applyAlignment="1">
      <alignment horizontal="left" vertical="top" wrapText="1"/>
    </xf>
    <xf numFmtId="0" fontId="0" fillId="23" borderId="10" xfId="0" applyFill="1" applyBorder="1" applyAlignment="1">
      <alignment horizontal="left" vertical="top" wrapText="1"/>
    </xf>
    <xf numFmtId="0" fontId="0" fillId="24" borderId="10" xfId="0" applyFill="1" applyBorder="1" applyAlignment="1">
      <alignment horizontal="left" vertical="top" wrapText="1"/>
    </xf>
    <xf numFmtId="0" fontId="0" fillId="17" borderId="10" xfId="0" applyFill="1" applyBorder="1" applyAlignment="1">
      <alignment horizontal="left" vertical="top" wrapText="1"/>
    </xf>
    <xf numFmtId="0" fontId="0" fillId="21" borderId="10" xfId="0" applyFill="1" applyBorder="1" applyAlignment="1">
      <alignment horizontal="left" vertical="top" wrapText="1"/>
    </xf>
    <xf numFmtId="0" fontId="0" fillId="26" borderId="10" xfId="0" applyFill="1" applyBorder="1" applyAlignment="1">
      <alignment horizontal="left" vertical="top" wrapText="1"/>
    </xf>
    <xf numFmtId="0" fontId="0" fillId="25" borderId="10" xfId="0" applyFill="1" applyBorder="1" applyAlignment="1">
      <alignment horizontal="left" vertical="top" wrapText="1"/>
    </xf>
    <xf numFmtId="0" fontId="9" fillId="21" borderId="10" xfId="0" applyFont="1" applyFill="1" applyBorder="1" applyAlignment="1">
      <alignment vertical="top" wrapText="1"/>
    </xf>
    <xf numFmtId="0" fontId="3" fillId="22" borderId="10" xfId="0" applyFont="1" applyFill="1" applyBorder="1" applyAlignment="1">
      <alignment horizontal="center" vertical="center" wrapText="1"/>
    </xf>
    <xf numFmtId="0" fontId="9" fillId="23" borderId="10" xfId="0" applyFont="1" applyFill="1" applyBorder="1" applyAlignment="1">
      <alignment vertical="top" wrapText="1"/>
    </xf>
    <xf numFmtId="0" fontId="9" fillId="24" borderId="10" xfId="0" applyFont="1" applyFill="1" applyBorder="1" applyAlignment="1">
      <alignment vertical="top" wrapText="1"/>
    </xf>
    <xf numFmtId="0" fontId="9" fillId="25" borderId="10" xfId="0" applyFont="1" applyFill="1" applyBorder="1" applyAlignment="1">
      <alignment vertical="top" wrapText="1"/>
    </xf>
    <xf numFmtId="0" fontId="9" fillId="26" borderId="10" xfId="0" applyFont="1" applyFill="1" applyBorder="1" applyAlignment="1">
      <alignment vertical="top" wrapText="1"/>
    </xf>
    <xf numFmtId="0" fontId="9" fillId="27" borderId="10" xfId="0" applyFont="1" applyFill="1" applyBorder="1" applyAlignment="1">
      <alignment vertical="top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vertical="top" wrapText="1"/>
    </xf>
    <xf numFmtId="0" fontId="3" fillId="22" borderId="2" xfId="0" applyFont="1" applyFill="1" applyBorder="1" applyAlignment="1">
      <alignment vertical="top" wrapText="1"/>
    </xf>
    <xf numFmtId="0" fontId="3" fillId="19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vertical="center" wrapText="1"/>
    </xf>
    <xf numFmtId="164" fontId="0" fillId="20" borderId="1" xfId="0" applyNumberForma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vertical="center" wrapText="1"/>
    </xf>
    <xf numFmtId="164" fontId="0" fillId="22" borderId="1" xfId="0" applyNumberForma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166" fontId="0" fillId="24" borderId="2" xfId="0" applyNumberFormat="1" applyFill="1" applyBorder="1" applyAlignment="1">
      <alignment horizontal="center" vertical="center" wrapText="1"/>
    </xf>
    <xf numFmtId="0" fontId="10" fillId="22" borderId="0" xfId="0" applyFont="1" applyFill="1" applyAlignment="1">
      <alignment horizontal="left" vertical="top" wrapText="1"/>
    </xf>
    <xf numFmtId="0" fontId="0" fillId="0" borderId="0" xfId="0"/>
    <xf numFmtId="0" fontId="1" fillId="19" borderId="0" xfId="0" applyFont="1" applyFill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0" fillId="21" borderId="3" xfId="0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19" borderId="3" xfId="0" applyFont="1" applyFill="1" applyBorder="1" applyAlignment="1">
      <alignment horizontal="left" vertical="top" wrapText="1"/>
    </xf>
    <xf numFmtId="0" fontId="7" fillId="19" borderId="0" xfId="0" applyFont="1" applyFill="1" applyAlignment="1">
      <alignment horizontal="left" vertical="top" wrapText="1"/>
    </xf>
    <xf numFmtId="0" fontId="5" fillId="18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8" fillId="0" borderId="0" xfId="0" applyFont="1"/>
    <xf numFmtId="0" fontId="7" fillId="19" borderId="0" xfId="0" applyFont="1" applyFill="1" applyAlignment="1">
      <alignment vertical="center"/>
    </xf>
    <xf numFmtId="0" fontId="3" fillId="19" borderId="10" xfId="0" applyFont="1" applyFill="1" applyBorder="1"/>
    <xf numFmtId="0" fontId="0" fillId="0" borderId="10" xfId="0" applyBorder="1"/>
    <xf numFmtId="165" fontId="0" fillId="0" borderId="10" xfId="0" applyNumberFormat="1" applyBorder="1"/>
    <xf numFmtId="0" fontId="8" fillId="0" borderId="0" xfId="0" applyFont="1" applyAlignment="1">
      <alignment vertical="top" wrapText="1"/>
    </xf>
    <xf numFmtId="0" fontId="7" fillId="19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9" fontId="0" fillId="0" borderId="0" xfId="0" applyNumberFormat="1"/>
    <xf numFmtId="0" fontId="15" fillId="20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6" fillId="20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vertical="top" wrapText="1"/>
    </xf>
    <xf numFmtId="165" fontId="0" fillId="28" borderId="3" xfId="0" applyNumberFormat="1" applyFill="1" applyBorder="1" applyAlignment="1">
      <alignment horizontal="center"/>
    </xf>
    <xf numFmtId="0" fontId="0" fillId="24" borderId="3" xfId="0" applyFill="1" applyBorder="1" applyAlignment="1">
      <alignment horizontal="center" wrapText="1"/>
    </xf>
    <xf numFmtId="169" fontId="0" fillId="24" borderId="3" xfId="0" applyNumberFormat="1" applyFill="1" applyBorder="1" applyAlignment="1">
      <alignment horizontal="center"/>
    </xf>
    <xf numFmtId="3" fontId="0" fillId="24" borderId="3" xfId="0" applyNumberFormat="1" applyFill="1" applyBorder="1" applyAlignment="1">
      <alignment horizontal="center"/>
    </xf>
    <xf numFmtId="0" fontId="0" fillId="0" borderId="4" xfId="0" applyBorder="1" applyAlignment="1">
      <alignment vertical="top" wrapText="1"/>
    </xf>
    <xf numFmtId="170" fontId="0" fillId="29" borderId="3" xfId="0" applyNumberFormat="1" applyFill="1" applyBorder="1" applyAlignment="1">
      <alignment horizontal="center" vertical="top" wrapText="1"/>
    </xf>
    <xf numFmtId="166" fontId="0" fillId="29" borderId="3" xfId="0" applyNumberFormat="1" applyFill="1" applyBorder="1" applyAlignment="1">
      <alignment horizontal="center" vertical="top" wrapText="1"/>
    </xf>
    <xf numFmtId="9" fontId="0" fillId="24" borderId="3" xfId="0" applyNumberFormat="1" applyFill="1" applyBorder="1" applyAlignment="1">
      <alignment horizontal="center"/>
    </xf>
    <xf numFmtId="169" fontId="0" fillId="30" borderId="3" xfId="0" applyNumberForma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6" fillId="20" borderId="3" xfId="0" applyFont="1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top" wrapText="1"/>
    </xf>
    <xf numFmtId="0" fontId="0" fillId="31" borderId="3" xfId="0" applyFill="1" applyBorder="1" applyAlignment="1">
      <alignment horizontal="center" vertical="top" wrapText="1"/>
    </xf>
    <xf numFmtId="0" fontId="0" fillId="29" borderId="3" xfId="0" applyFill="1" applyBorder="1" applyAlignment="1">
      <alignment horizontal="center" vertical="top" wrapText="1"/>
    </xf>
    <xf numFmtId="0" fontId="0" fillId="25" borderId="3" xfId="0" applyFill="1" applyBorder="1" applyAlignment="1">
      <alignment horizontal="center" vertical="top" wrapText="1"/>
    </xf>
    <xf numFmtId="0" fontId="0" fillId="26" borderId="3" xfId="0" applyFill="1" applyBorder="1" applyAlignment="1">
      <alignment horizontal="center" vertical="top" wrapText="1"/>
    </xf>
    <xf numFmtId="0" fontId="0" fillId="26" borderId="3" xfId="0" applyFill="1" applyBorder="1" applyAlignment="1">
      <alignment vertical="top" wrapText="1"/>
    </xf>
    <xf numFmtId="0" fontId="5" fillId="32" borderId="3" xfId="0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 vertical="center" wrapText="1"/>
    </xf>
    <xf numFmtId="0" fontId="0" fillId="0" borderId="11" xfId="0" applyBorder="1"/>
    <xf numFmtId="0" fontId="6" fillId="33" borderId="3" xfId="0" applyFont="1" applyFill="1" applyBorder="1" applyAlignment="1">
      <alignment horizontal="center" vertical="center" wrapText="1"/>
    </xf>
    <xf numFmtId="0" fontId="17" fillId="21" borderId="3" xfId="0" applyFont="1" applyFill="1" applyBorder="1" applyAlignment="1">
      <alignment vertical="top" wrapText="1"/>
    </xf>
    <xf numFmtId="166" fontId="0" fillId="0" borderId="0" xfId="0" applyNumberFormat="1"/>
    <xf numFmtId="0" fontId="6" fillId="20" borderId="1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2" xfId="0" applyBorder="1"/>
    <xf numFmtId="0" fontId="17" fillId="0" borderId="12" xfId="0" applyFont="1" applyBorder="1" applyAlignment="1">
      <alignment vertical="top" wrapText="1"/>
    </xf>
    <xf numFmtId="166" fontId="17" fillId="29" borderId="2" xfId="0" applyNumberFormat="1" applyFont="1" applyFill="1" applyBorder="1" applyAlignment="1">
      <alignment horizontal="center" vertical="top" wrapText="1"/>
    </xf>
    <xf numFmtId="0" fontId="17" fillId="0" borderId="2" xfId="0" applyFont="1" applyBorder="1" applyAlignment="1">
      <alignment vertical="top" wrapText="1"/>
    </xf>
    <xf numFmtId="166" fontId="17" fillId="23" borderId="2" xfId="0" applyNumberFormat="1" applyFont="1" applyFill="1" applyBorder="1" applyAlignment="1">
      <alignment horizontal="center" vertical="top" wrapText="1"/>
    </xf>
    <xf numFmtId="0" fontId="6" fillId="20" borderId="0" xfId="0" applyFont="1" applyFill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33" borderId="0" xfId="0" applyFont="1" applyFill="1" applyAlignment="1">
      <alignment horizontal="center" vertical="center" wrapText="1"/>
    </xf>
    <xf numFmtId="0" fontId="17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170" fontId="0" fillId="0" borderId="2" xfId="0" applyNumberFormat="1" applyBorder="1" applyAlignment="1">
      <alignment horizontal="center" vertical="top" wrapText="1"/>
    </xf>
    <xf numFmtId="170" fontId="0" fillId="34" borderId="2" xfId="0" applyNumberFormat="1" applyFill="1" applyBorder="1" applyAlignment="1">
      <alignment horizontal="center" vertical="top" wrapText="1"/>
    </xf>
    <xf numFmtId="170" fontId="17" fillId="23" borderId="2" xfId="0" applyNumberFormat="1" applyFont="1" applyFill="1" applyBorder="1" applyAlignment="1">
      <alignment horizontal="center" vertical="top" wrapText="1"/>
    </xf>
    <xf numFmtId="168" fontId="0" fillId="0" borderId="2" xfId="0" applyNumberFormat="1" applyBorder="1" applyAlignment="1">
      <alignment horizontal="center" vertical="top" wrapText="1"/>
    </xf>
    <xf numFmtId="171" fontId="0" fillId="0" borderId="0" xfId="1" applyNumberFormat="1" applyFont="1"/>
    <xf numFmtId="3" fontId="0" fillId="0" borderId="10" xfId="0" applyNumberFormat="1" applyBorder="1" applyAlignment="1">
      <alignment vertical="top" wrapText="1"/>
    </xf>
    <xf numFmtId="3" fontId="9" fillId="21" borderId="1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831850</xdr:colOff>
      <xdr:row>23</xdr:row>
      <xdr:rowOff>95250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497C85C8-D36A-E449-FB16-4C78BD851B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2438400</xdr:colOff>
      <xdr:row>6</xdr:row>
      <xdr:rowOff>107950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8232E8F5-06FD-AFEF-C03A-20C0183BF0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s111018\Desktop\PDO%20ISO%2020K\PDO%20Final\PDO_ISO20000-1_Estimation_Draft.xlsx" TargetMode="External"/><Relationship Id="rId1" Type="http://schemas.openxmlformats.org/officeDocument/2006/relationships/externalLinkPath" Target="PDO_ISO20000-1_Estimation_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O 20000 Estimation Inputs"/>
      <sheetName val="Estimation"/>
      <sheetName val="6 Months Maintenance Plan"/>
    </sheetNames>
    <sheetDataSet>
      <sheetData sheetId="0"/>
      <sheetData sheetId="1"/>
      <sheetData sheetId="2">
        <row r="10">
          <cell r="E10">
            <v>17325</v>
          </cell>
          <cell r="G10">
            <v>13695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workbookViewId="0">
      <selection sqref="A1:H1"/>
    </sheetView>
  </sheetViews>
  <sheetFormatPr defaultColWidth="8.7265625" defaultRowHeight="14.5" x14ac:dyDescent="0.35"/>
  <cols>
    <col min="1" max="1" width="22" style="53" customWidth="1"/>
    <col min="2" max="2" width="46.26953125" style="53" customWidth="1"/>
    <col min="3" max="8" width="22" style="53" customWidth="1"/>
    <col min="9" max="10" width="8.7265625" style="53" customWidth="1"/>
    <col min="11" max="16384" width="8.7265625" style="53"/>
  </cols>
  <sheetData>
    <row r="1" spans="1:8" customFormat="1" ht="25" customHeight="1" x14ac:dyDescent="0.35">
      <c r="A1" s="113" t="s">
        <v>0</v>
      </c>
      <c r="B1" s="112"/>
      <c r="C1" s="112"/>
      <c r="D1" s="112"/>
      <c r="E1" s="112"/>
      <c r="F1" s="112"/>
      <c r="G1" s="112"/>
      <c r="H1" s="112"/>
    </row>
    <row r="2" spans="1:8" customFormat="1" ht="26.5" customHeight="1" x14ac:dyDescent="0.35">
      <c r="A2" s="111" t="s">
        <v>1</v>
      </c>
      <c r="B2" s="112"/>
      <c r="C2" s="112"/>
      <c r="D2" s="112"/>
      <c r="E2" s="112"/>
      <c r="F2" s="112"/>
      <c r="G2" s="112"/>
      <c r="H2" s="112"/>
    </row>
    <row r="4" spans="1:8" x14ac:dyDescent="0.35">
      <c r="A4" s="80" t="s">
        <v>2</v>
      </c>
      <c r="B4" s="55">
        <v>46281</v>
      </c>
      <c r="C4" s="56" t="s">
        <v>3</v>
      </c>
    </row>
    <row r="5" spans="1:8" customFormat="1" ht="29.15" customHeight="1" x14ac:dyDescent="0.35">
      <c r="A5" s="80" t="s">
        <v>4</v>
      </c>
      <c r="B5" s="54" t="s">
        <v>5</v>
      </c>
    </row>
    <row r="6" spans="1:8" customFormat="1" ht="72.650000000000006" customHeight="1" x14ac:dyDescent="0.35">
      <c r="A6" s="80" t="s">
        <v>6</v>
      </c>
      <c r="B6" s="54" t="s">
        <v>7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"/>
  <sheetViews>
    <sheetView showGridLines="0" workbookViewId="0"/>
  </sheetViews>
  <sheetFormatPr defaultColWidth="8.7265625" defaultRowHeight="14.5" x14ac:dyDescent="0.35"/>
  <cols>
    <col min="1" max="1" width="54.7265625" style="53" customWidth="1"/>
    <col min="2" max="2" width="54.81640625" style="53" customWidth="1"/>
    <col min="3" max="3" width="11" style="53" customWidth="1"/>
    <col min="4" max="4" width="17.81640625" style="53" customWidth="1"/>
    <col min="5" max="5" width="11.7265625" style="53" customWidth="1"/>
    <col min="6" max="6" width="18.7265625" style="53" customWidth="1"/>
    <col min="7" max="7" width="17" style="53" customWidth="1"/>
    <col min="8" max="8" width="15.81640625" style="53" customWidth="1"/>
    <col min="9" max="10" width="11.453125" style="53" customWidth="1"/>
    <col min="11" max="11" width="14" style="53" customWidth="1"/>
    <col min="12" max="12" width="15.81640625" style="53" customWidth="1"/>
    <col min="13" max="14" width="8.7265625" style="53" customWidth="1"/>
    <col min="15" max="16384" width="8.7265625" style="53"/>
  </cols>
  <sheetData>
    <row r="1" spans="1:12" customFormat="1" ht="26.5" customHeight="1" x14ac:dyDescent="0.35">
      <c r="A1" s="123" t="s">
        <v>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x14ac:dyDescent="0.35">
      <c r="A2" s="120" t="s">
        <v>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4" spans="1:12" x14ac:dyDescent="0.35">
      <c r="A4" s="81" t="s">
        <v>10</v>
      </c>
      <c r="B4" s="81" t="s">
        <v>11</v>
      </c>
    </row>
    <row r="5" spans="1:12" x14ac:dyDescent="0.35">
      <c r="A5" s="82" t="s">
        <v>12</v>
      </c>
      <c r="B5" s="54" t="s">
        <v>13</v>
      </c>
    </row>
    <row r="6" spans="1:12" customFormat="1" ht="43.5" customHeight="1" x14ac:dyDescent="0.35">
      <c r="A6" s="82" t="s">
        <v>14</v>
      </c>
      <c r="B6" s="54" t="s">
        <v>15</v>
      </c>
    </row>
    <row r="7" spans="1:12" x14ac:dyDescent="0.35">
      <c r="A7" s="82" t="s">
        <v>16</v>
      </c>
      <c r="B7" s="54" t="s">
        <v>17</v>
      </c>
    </row>
    <row r="8" spans="1:12" x14ac:dyDescent="0.35">
      <c r="A8" s="82" t="s">
        <v>18</v>
      </c>
      <c r="B8" s="55">
        <v>46281</v>
      </c>
    </row>
    <row r="9" spans="1:12" x14ac:dyDescent="0.35">
      <c r="A9" s="82" t="s">
        <v>19</v>
      </c>
      <c r="B9" s="55">
        <v>46558</v>
      </c>
    </row>
    <row r="10" spans="1:12" x14ac:dyDescent="0.35">
      <c r="A10" s="82" t="s">
        <v>20</v>
      </c>
      <c r="B10" s="54" t="s">
        <v>21</v>
      </c>
    </row>
    <row r="11" spans="1:12" x14ac:dyDescent="0.35">
      <c r="A11" s="82" t="s">
        <v>22</v>
      </c>
      <c r="B11" s="54">
        <f>SUM('Detailed Schedule'!G2:G67)</f>
        <v>745</v>
      </c>
    </row>
    <row r="12" spans="1:12" x14ac:dyDescent="0.35">
      <c r="A12" s="82" t="s">
        <v>23</v>
      </c>
      <c r="B12" s="54">
        <f>MAX('Weekly Summary'!H2:H41)</f>
        <v>30</v>
      </c>
    </row>
    <row r="13" spans="1:12" x14ac:dyDescent="0.35">
      <c r="A13" s="82" t="s">
        <v>24</v>
      </c>
      <c r="B13" s="54">
        <v>6</v>
      </c>
    </row>
    <row r="14" spans="1:12" customFormat="1" ht="29.15" customHeight="1" x14ac:dyDescent="0.35">
      <c r="A14" s="82" t="s">
        <v>25</v>
      </c>
      <c r="B14" s="54" t="s">
        <v>26</v>
      </c>
    </row>
    <row r="15" spans="1:12" customFormat="1" ht="29.15" customHeight="1" x14ac:dyDescent="0.35">
      <c r="A15" s="82" t="s">
        <v>27</v>
      </c>
      <c r="B15" s="54" t="s">
        <v>28</v>
      </c>
    </row>
    <row r="16" spans="1:12" customFormat="1" ht="43.5" customHeight="1" x14ac:dyDescent="0.35">
      <c r="A16" s="82" t="s">
        <v>29</v>
      </c>
      <c r="B16" s="54" t="s">
        <v>30</v>
      </c>
    </row>
    <row r="19" spans="1:6" x14ac:dyDescent="0.35">
      <c r="A19" s="81" t="s">
        <v>31</v>
      </c>
      <c r="B19" s="81"/>
    </row>
    <row r="20" spans="1:6" customFormat="1" ht="29.15" customHeight="1" x14ac:dyDescent="0.35">
      <c r="A20" s="124" t="s">
        <v>32</v>
      </c>
      <c r="B20" s="73" t="s">
        <v>33</v>
      </c>
    </row>
    <row r="21" spans="1:6" customFormat="1" ht="29.15" customHeight="1" x14ac:dyDescent="0.35">
      <c r="A21" s="125"/>
      <c r="B21" s="73" t="s">
        <v>34</v>
      </c>
    </row>
    <row r="22" spans="1:6" customFormat="1" ht="29.15" customHeight="1" x14ac:dyDescent="0.35">
      <c r="A22" s="125"/>
      <c r="B22" s="73" t="s">
        <v>35</v>
      </c>
    </row>
    <row r="23" spans="1:6" customFormat="1" ht="43.5" customHeight="1" x14ac:dyDescent="0.35">
      <c r="A23" s="125"/>
      <c r="B23" s="73" t="s">
        <v>36</v>
      </c>
    </row>
    <row r="24" spans="1:6" customFormat="1" ht="29.15" customHeight="1" x14ac:dyDescent="0.35">
      <c r="A24" s="126"/>
      <c r="B24" s="73" t="s">
        <v>37</v>
      </c>
    </row>
    <row r="27" spans="1:6" x14ac:dyDescent="0.35">
      <c r="A27" s="83" t="s">
        <v>38</v>
      </c>
      <c r="B27" s="83" t="s">
        <v>39</v>
      </c>
      <c r="C27" s="83" t="s">
        <v>40</v>
      </c>
      <c r="D27" s="83" t="s">
        <v>41</v>
      </c>
      <c r="E27" s="83" t="s">
        <v>42</v>
      </c>
      <c r="F27" s="83" t="s">
        <v>43</v>
      </c>
    </row>
    <row r="28" spans="1:6" x14ac:dyDescent="0.35">
      <c r="A28" s="83" t="s">
        <v>44</v>
      </c>
      <c r="B28" s="58">
        <v>1</v>
      </c>
      <c r="C28" s="58">
        <v>2</v>
      </c>
      <c r="D28" s="59">
        <v>46281</v>
      </c>
      <c r="E28" s="59">
        <v>46292</v>
      </c>
      <c r="F28" s="60">
        <v>8</v>
      </c>
    </row>
    <row r="29" spans="1:6" x14ac:dyDescent="0.35">
      <c r="A29" s="61" t="s">
        <v>45</v>
      </c>
      <c r="B29" s="58">
        <v>2</v>
      </c>
      <c r="C29" s="58">
        <v>4</v>
      </c>
      <c r="D29" s="59">
        <v>46288</v>
      </c>
      <c r="E29" s="59">
        <v>46306</v>
      </c>
      <c r="F29" s="60">
        <v>12</v>
      </c>
    </row>
    <row r="30" spans="1:6" x14ac:dyDescent="0.35">
      <c r="A30" s="62" t="s">
        <v>46</v>
      </c>
      <c r="B30" s="58">
        <v>5</v>
      </c>
      <c r="C30" s="58">
        <v>7</v>
      </c>
      <c r="D30" s="59">
        <v>46309</v>
      </c>
      <c r="E30" s="59">
        <v>46327</v>
      </c>
      <c r="F30" s="60">
        <v>12</v>
      </c>
    </row>
    <row r="31" spans="1:6" x14ac:dyDescent="0.35">
      <c r="A31" s="63" t="s">
        <v>47</v>
      </c>
      <c r="B31" s="58">
        <v>7</v>
      </c>
      <c r="C31" s="58">
        <v>11</v>
      </c>
      <c r="D31" s="59">
        <v>46323</v>
      </c>
      <c r="E31" s="59">
        <v>46355</v>
      </c>
      <c r="F31" s="60">
        <v>22</v>
      </c>
    </row>
    <row r="32" spans="1:6" x14ac:dyDescent="0.35">
      <c r="A32" s="64" t="s">
        <v>48</v>
      </c>
      <c r="B32" s="58">
        <v>7</v>
      </c>
      <c r="C32" s="58">
        <v>38</v>
      </c>
      <c r="D32" s="59">
        <v>46323</v>
      </c>
      <c r="E32" s="59">
        <v>46544</v>
      </c>
      <c r="F32" s="60">
        <v>69</v>
      </c>
    </row>
    <row r="33" spans="1:6" x14ac:dyDescent="0.35">
      <c r="A33" s="65" t="s">
        <v>49</v>
      </c>
      <c r="B33" s="58">
        <v>12</v>
      </c>
      <c r="C33" s="58">
        <v>17</v>
      </c>
      <c r="D33" s="59">
        <v>46358</v>
      </c>
      <c r="E33" s="59">
        <v>46397</v>
      </c>
      <c r="F33" s="60">
        <v>22</v>
      </c>
    </row>
    <row r="34" spans="1:6" x14ac:dyDescent="0.35">
      <c r="A34" s="84" t="s">
        <v>50</v>
      </c>
      <c r="B34" s="58">
        <v>18</v>
      </c>
      <c r="C34" s="58">
        <v>25</v>
      </c>
      <c r="D34" s="59">
        <v>46400</v>
      </c>
      <c r="E34" s="59">
        <v>46453</v>
      </c>
      <c r="F34" s="60">
        <v>36</v>
      </c>
    </row>
    <row r="35" spans="1:6" x14ac:dyDescent="0.35">
      <c r="A35" s="66" t="s">
        <v>51</v>
      </c>
      <c r="B35" s="58">
        <v>19</v>
      </c>
      <c r="C35" s="58">
        <v>36</v>
      </c>
      <c r="D35" s="59">
        <v>46407</v>
      </c>
      <c r="E35" s="59">
        <v>46530</v>
      </c>
      <c r="F35" s="60">
        <v>220</v>
      </c>
    </row>
    <row r="36" spans="1:6" x14ac:dyDescent="0.35">
      <c r="A36" s="67" t="s">
        <v>52</v>
      </c>
      <c r="B36" s="58">
        <v>26</v>
      </c>
      <c r="C36" s="58">
        <v>40</v>
      </c>
      <c r="D36" s="59">
        <v>46456</v>
      </c>
      <c r="E36" s="59">
        <v>46558</v>
      </c>
      <c r="F36" s="60">
        <v>24</v>
      </c>
    </row>
    <row r="37" spans="1:6" x14ac:dyDescent="0.35">
      <c r="A37" s="68" t="s">
        <v>53</v>
      </c>
      <c r="B37" s="58">
        <v>27</v>
      </c>
      <c r="C37" s="58">
        <v>31</v>
      </c>
      <c r="D37" s="59">
        <v>46463</v>
      </c>
      <c r="E37" s="59">
        <v>46495</v>
      </c>
      <c r="F37" s="60">
        <v>22</v>
      </c>
    </row>
    <row r="38" spans="1:6" x14ac:dyDescent="0.35">
      <c r="A38" s="69" t="s">
        <v>54</v>
      </c>
      <c r="B38" s="58">
        <v>34</v>
      </c>
      <c r="C38" s="58">
        <v>37</v>
      </c>
      <c r="D38" s="59">
        <v>46512</v>
      </c>
      <c r="E38" s="59">
        <v>46537</v>
      </c>
      <c r="F38" s="60">
        <v>22</v>
      </c>
    </row>
    <row r="39" spans="1:6" x14ac:dyDescent="0.35">
      <c r="A39" s="70" t="s">
        <v>55</v>
      </c>
      <c r="B39" s="58">
        <v>38</v>
      </c>
      <c r="C39" s="58">
        <v>38</v>
      </c>
      <c r="D39" s="59">
        <v>46540</v>
      </c>
      <c r="E39" s="59">
        <v>46544</v>
      </c>
      <c r="F39" s="60">
        <v>4</v>
      </c>
    </row>
    <row r="40" spans="1:6" x14ac:dyDescent="0.35">
      <c r="A40" s="71" t="s">
        <v>56</v>
      </c>
      <c r="B40" s="58">
        <v>39</v>
      </c>
      <c r="C40" s="58">
        <v>40</v>
      </c>
      <c r="D40" s="59">
        <v>46547</v>
      </c>
      <c r="E40" s="59">
        <v>46558</v>
      </c>
      <c r="F40" s="60">
        <v>22</v>
      </c>
    </row>
    <row r="41" spans="1:6" x14ac:dyDescent="0.35">
      <c r="A41" s="72" t="s">
        <v>57</v>
      </c>
      <c r="B41" s="58">
        <v>16</v>
      </c>
      <c r="C41" s="58">
        <v>40</v>
      </c>
      <c r="D41" s="59">
        <v>46386</v>
      </c>
      <c r="E41" s="59">
        <v>46558</v>
      </c>
      <c r="F41" s="60">
        <v>250</v>
      </c>
    </row>
    <row r="44" spans="1:6" x14ac:dyDescent="0.35">
      <c r="A44" s="81" t="s">
        <v>58</v>
      </c>
      <c r="B44" s="81" t="s">
        <v>59</v>
      </c>
    </row>
    <row r="45" spans="1:6" customFormat="1" ht="29.15" customHeight="1" x14ac:dyDescent="0.35">
      <c r="A45" s="54" t="s">
        <v>60</v>
      </c>
      <c r="B45" s="54" t="s">
        <v>61</v>
      </c>
    </row>
    <row r="46" spans="1:6" customFormat="1" ht="29.15" customHeight="1" x14ac:dyDescent="0.35">
      <c r="A46" s="54" t="s">
        <v>62</v>
      </c>
      <c r="B46" s="54" t="s">
        <v>63</v>
      </c>
    </row>
    <row r="47" spans="1:6" customFormat="1" ht="29.15" customHeight="1" x14ac:dyDescent="0.35">
      <c r="A47" s="54" t="s">
        <v>64</v>
      </c>
      <c r="B47" s="54" t="s">
        <v>65</v>
      </c>
    </row>
    <row r="48" spans="1:6" customFormat="1" ht="29.15" customHeight="1" x14ac:dyDescent="0.35">
      <c r="A48" s="54" t="s">
        <v>66</v>
      </c>
      <c r="B48" s="54" t="s">
        <v>67</v>
      </c>
    </row>
    <row r="49" spans="1:12" customFormat="1" ht="29.15" customHeight="1" x14ac:dyDescent="0.35">
      <c r="A49" s="54" t="s">
        <v>68</v>
      </c>
      <c r="B49" s="54" t="s">
        <v>69</v>
      </c>
    </row>
    <row r="52" spans="1:12" x14ac:dyDescent="0.35">
      <c r="A52" s="122" t="s">
        <v>70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9"/>
    </row>
    <row r="53" spans="1:12" x14ac:dyDescent="0.35">
      <c r="A53" s="82" t="s">
        <v>71</v>
      </c>
      <c r="B53" s="117" t="s">
        <v>72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</row>
    <row r="55" spans="1:12" customFormat="1" ht="29.15" customHeight="1" x14ac:dyDescent="0.35">
      <c r="A55" s="85" t="s">
        <v>73</v>
      </c>
      <c r="B55" s="85" t="s">
        <v>74</v>
      </c>
      <c r="C55" s="85" t="s">
        <v>75</v>
      </c>
      <c r="D55" s="85" t="s">
        <v>76</v>
      </c>
      <c r="E55" s="85" t="s">
        <v>77</v>
      </c>
      <c r="F55" s="85" t="s">
        <v>78</v>
      </c>
      <c r="G55" s="85" t="s">
        <v>79</v>
      </c>
      <c r="H55" s="85" t="s">
        <v>80</v>
      </c>
      <c r="I55" s="85" t="s">
        <v>81</v>
      </c>
      <c r="J55" s="85" t="s">
        <v>82</v>
      </c>
      <c r="K55" s="85" t="s">
        <v>83</v>
      </c>
      <c r="L55" s="85" t="s">
        <v>84</v>
      </c>
    </row>
    <row r="56" spans="1:12" x14ac:dyDescent="0.35">
      <c r="A56" s="86" t="s">
        <v>85</v>
      </c>
      <c r="B56" s="87" t="s">
        <v>86</v>
      </c>
      <c r="C56" s="88" t="s">
        <v>87</v>
      </c>
      <c r="D56" s="89" t="s">
        <v>88</v>
      </c>
      <c r="E56" s="89" t="s">
        <v>88</v>
      </c>
      <c r="F56" s="90" t="s">
        <v>89</v>
      </c>
      <c r="G56" s="88" t="s">
        <v>87</v>
      </c>
      <c r="H56" s="91" t="s">
        <v>90</v>
      </c>
      <c r="I56" s="90" t="s">
        <v>89</v>
      </c>
      <c r="J56" s="90" t="s">
        <v>89</v>
      </c>
      <c r="K56" s="90" t="s">
        <v>89</v>
      </c>
      <c r="L56" s="90" t="s">
        <v>89</v>
      </c>
    </row>
    <row r="57" spans="1:12" x14ac:dyDescent="0.35">
      <c r="A57" s="86" t="s">
        <v>45</v>
      </c>
      <c r="B57" s="90" t="s">
        <v>89</v>
      </c>
      <c r="C57" s="87" t="s">
        <v>86</v>
      </c>
      <c r="D57" s="89" t="s">
        <v>88</v>
      </c>
      <c r="E57" s="89" t="s">
        <v>88</v>
      </c>
      <c r="F57" s="91" t="s">
        <v>90</v>
      </c>
      <c r="G57" s="88" t="s">
        <v>87</v>
      </c>
      <c r="H57" s="91" t="s">
        <v>90</v>
      </c>
      <c r="I57" s="89" t="s">
        <v>88</v>
      </c>
      <c r="J57" s="89" t="s">
        <v>88</v>
      </c>
      <c r="K57" s="90" t="s">
        <v>89</v>
      </c>
      <c r="L57" s="90" t="s">
        <v>89</v>
      </c>
    </row>
    <row r="58" spans="1:12" x14ac:dyDescent="0.35">
      <c r="A58" s="86" t="s">
        <v>91</v>
      </c>
      <c r="B58" s="87" t="s">
        <v>86</v>
      </c>
      <c r="C58" s="88" t="s">
        <v>87</v>
      </c>
      <c r="D58" s="89" t="s">
        <v>88</v>
      </c>
      <c r="E58" s="89" t="s">
        <v>88</v>
      </c>
      <c r="F58" s="91" t="s">
        <v>90</v>
      </c>
      <c r="G58" s="88" t="s">
        <v>87</v>
      </c>
      <c r="H58" s="91" t="s">
        <v>90</v>
      </c>
      <c r="I58" s="90" t="s">
        <v>89</v>
      </c>
      <c r="J58" s="90" t="s">
        <v>89</v>
      </c>
      <c r="K58" s="90" t="s">
        <v>89</v>
      </c>
      <c r="L58" s="90" t="s">
        <v>89</v>
      </c>
    </row>
    <row r="59" spans="1:12" x14ac:dyDescent="0.35">
      <c r="A59" s="86" t="s">
        <v>47</v>
      </c>
      <c r="B59" s="90" t="s">
        <v>89</v>
      </c>
      <c r="C59" s="87" t="s">
        <v>86</v>
      </c>
      <c r="D59" s="89" t="s">
        <v>88</v>
      </c>
      <c r="E59" s="89" t="s">
        <v>88</v>
      </c>
      <c r="F59" s="91" t="s">
        <v>90</v>
      </c>
      <c r="G59" s="88" t="s">
        <v>87</v>
      </c>
      <c r="H59" s="91" t="s">
        <v>90</v>
      </c>
      <c r="I59" s="90" t="s">
        <v>89</v>
      </c>
      <c r="J59" s="90" t="s">
        <v>89</v>
      </c>
      <c r="K59" s="90" t="s">
        <v>89</v>
      </c>
      <c r="L59" s="90" t="s">
        <v>89</v>
      </c>
    </row>
    <row r="60" spans="1:12" x14ac:dyDescent="0.35">
      <c r="A60" s="86" t="s">
        <v>49</v>
      </c>
      <c r="B60" s="90" t="s">
        <v>89</v>
      </c>
      <c r="C60" s="87" t="s">
        <v>86</v>
      </c>
      <c r="D60" s="89" t="s">
        <v>88</v>
      </c>
      <c r="E60" s="89" t="s">
        <v>88</v>
      </c>
      <c r="F60" s="91" t="s">
        <v>90</v>
      </c>
      <c r="G60" s="88" t="s">
        <v>87</v>
      </c>
      <c r="H60" s="91" t="s">
        <v>90</v>
      </c>
      <c r="I60" s="89" t="s">
        <v>88</v>
      </c>
      <c r="J60" s="89" t="s">
        <v>88</v>
      </c>
      <c r="K60" s="90" t="s">
        <v>89</v>
      </c>
      <c r="L60" s="90" t="s">
        <v>89</v>
      </c>
    </row>
    <row r="61" spans="1:12" x14ac:dyDescent="0.35">
      <c r="A61" s="86" t="s">
        <v>50</v>
      </c>
      <c r="B61" s="90" t="s">
        <v>89</v>
      </c>
      <c r="C61" s="87" t="s">
        <v>86</v>
      </c>
      <c r="D61" s="89" t="s">
        <v>88</v>
      </c>
      <c r="E61" s="89" t="s">
        <v>88</v>
      </c>
      <c r="F61" s="91" t="s">
        <v>90</v>
      </c>
      <c r="G61" s="87" t="s">
        <v>86</v>
      </c>
      <c r="H61" s="88" t="s">
        <v>87</v>
      </c>
      <c r="I61" s="91" t="s">
        <v>90</v>
      </c>
      <c r="J61" s="91" t="s">
        <v>90</v>
      </c>
      <c r="K61" s="89" t="s">
        <v>88</v>
      </c>
      <c r="L61" s="90" t="s">
        <v>89</v>
      </c>
    </row>
    <row r="62" spans="1:12" x14ac:dyDescent="0.35">
      <c r="A62" s="86" t="s">
        <v>51</v>
      </c>
      <c r="B62" s="90" t="s">
        <v>89</v>
      </c>
      <c r="C62" s="87" t="s">
        <v>86</v>
      </c>
      <c r="D62" s="89" t="s">
        <v>88</v>
      </c>
      <c r="E62" s="89" t="s">
        <v>88</v>
      </c>
      <c r="F62" s="91" t="s">
        <v>90</v>
      </c>
      <c r="G62" s="87" t="s">
        <v>86</v>
      </c>
      <c r="H62" s="88" t="s">
        <v>87</v>
      </c>
      <c r="I62" s="88" t="s">
        <v>87</v>
      </c>
      <c r="J62" s="88" t="s">
        <v>87</v>
      </c>
      <c r="K62" s="91" t="s">
        <v>90</v>
      </c>
      <c r="L62" s="90" t="s">
        <v>89</v>
      </c>
    </row>
    <row r="63" spans="1:12" x14ac:dyDescent="0.35">
      <c r="A63" s="86" t="s">
        <v>53</v>
      </c>
      <c r="B63" s="90" t="s">
        <v>89</v>
      </c>
      <c r="C63" s="87" t="s">
        <v>86</v>
      </c>
      <c r="D63" s="89" t="s">
        <v>88</v>
      </c>
      <c r="E63" s="89" t="s">
        <v>88</v>
      </c>
      <c r="F63" s="91" t="s">
        <v>90</v>
      </c>
      <c r="G63" s="88" t="s">
        <v>87</v>
      </c>
      <c r="H63" s="91" t="s">
        <v>90</v>
      </c>
      <c r="I63" s="91" t="s">
        <v>90</v>
      </c>
      <c r="J63" s="91" t="s">
        <v>90</v>
      </c>
      <c r="K63" s="91" t="s">
        <v>90</v>
      </c>
      <c r="L63" s="90" t="s">
        <v>89</v>
      </c>
    </row>
    <row r="64" spans="1:12" x14ac:dyDescent="0.35">
      <c r="A64" s="86" t="s">
        <v>54</v>
      </c>
      <c r="B64" s="90" t="s">
        <v>89</v>
      </c>
      <c r="C64" s="87" t="s">
        <v>86</v>
      </c>
      <c r="D64" s="89" t="s">
        <v>88</v>
      </c>
      <c r="E64" s="89" t="s">
        <v>88</v>
      </c>
      <c r="F64" s="91" t="s">
        <v>90</v>
      </c>
      <c r="G64" s="88" t="s">
        <v>87</v>
      </c>
      <c r="H64" s="91" t="s">
        <v>90</v>
      </c>
      <c r="I64" s="89" t="s">
        <v>88</v>
      </c>
      <c r="J64" s="89" t="s">
        <v>88</v>
      </c>
      <c r="K64" s="90" t="s">
        <v>89</v>
      </c>
      <c r="L64" s="90" t="s">
        <v>89</v>
      </c>
    </row>
    <row r="65" spans="1:12" x14ac:dyDescent="0.35">
      <c r="A65" s="86" t="s">
        <v>55</v>
      </c>
      <c r="B65" s="87" t="s">
        <v>86</v>
      </c>
      <c r="C65" s="88" t="s">
        <v>87</v>
      </c>
      <c r="D65" s="89" t="s">
        <v>88</v>
      </c>
      <c r="E65" s="89" t="s">
        <v>88</v>
      </c>
      <c r="F65" s="89" t="s">
        <v>88</v>
      </c>
      <c r="G65" s="88" t="s">
        <v>87</v>
      </c>
      <c r="H65" s="91" t="s">
        <v>90</v>
      </c>
      <c r="I65" s="90" t="s">
        <v>89</v>
      </c>
      <c r="J65" s="90" t="s">
        <v>89</v>
      </c>
      <c r="K65" s="90" t="s">
        <v>89</v>
      </c>
      <c r="L65" s="90" t="s">
        <v>89</v>
      </c>
    </row>
    <row r="66" spans="1:12" x14ac:dyDescent="0.35">
      <c r="A66" s="86" t="s">
        <v>56</v>
      </c>
      <c r="B66" s="90" t="s">
        <v>89</v>
      </c>
      <c r="C66" s="87" t="s">
        <v>86</v>
      </c>
      <c r="D66" s="89" t="s">
        <v>88</v>
      </c>
      <c r="E66" s="89" t="s">
        <v>88</v>
      </c>
      <c r="F66" s="91" t="s">
        <v>90</v>
      </c>
      <c r="G66" s="88" t="s">
        <v>87</v>
      </c>
      <c r="H66" s="91" t="s">
        <v>90</v>
      </c>
      <c r="I66" s="91" t="s">
        <v>90</v>
      </c>
      <c r="J66" s="91" t="s">
        <v>90</v>
      </c>
      <c r="K66" s="90" t="s">
        <v>89</v>
      </c>
      <c r="L66" s="89" t="s">
        <v>88</v>
      </c>
    </row>
    <row r="67" spans="1:12" x14ac:dyDescent="0.35">
      <c r="A67" s="86" t="s">
        <v>92</v>
      </c>
      <c r="B67" s="90" t="s">
        <v>89</v>
      </c>
      <c r="C67" s="92" t="s">
        <v>93</v>
      </c>
      <c r="D67" s="90" t="s">
        <v>89</v>
      </c>
      <c r="E67" s="90" t="s">
        <v>89</v>
      </c>
      <c r="F67" s="90" t="s">
        <v>89</v>
      </c>
      <c r="G67" s="88" t="s">
        <v>87</v>
      </c>
      <c r="H67" s="91" t="s">
        <v>90</v>
      </c>
      <c r="I67" s="90" t="s">
        <v>89</v>
      </c>
      <c r="J67" s="90" t="s">
        <v>89</v>
      </c>
      <c r="K67" s="90" t="s">
        <v>89</v>
      </c>
      <c r="L67" s="90" t="s">
        <v>89</v>
      </c>
    </row>
    <row r="68" spans="1:12" x14ac:dyDescent="0.35">
      <c r="A68" s="86" t="s">
        <v>94</v>
      </c>
      <c r="B68" s="90" t="s">
        <v>89</v>
      </c>
      <c r="C68" s="87" t="s">
        <v>86</v>
      </c>
      <c r="D68" s="89" t="s">
        <v>88</v>
      </c>
      <c r="E68" s="90" t="s">
        <v>89</v>
      </c>
      <c r="F68" s="91" t="s">
        <v>90</v>
      </c>
      <c r="G68" s="88" t="s">
        <v>87</v>
      </c>
      <c r="H68" s="91" t="s">
        <v>90</v>
      </c>
      <c r="I68" s="91" t="s">
        <v>90</v>
      </c>
      <c r="J68" s="91" t="s">
        <v>90</v>
      </c>
      <c r="K68" s="90" t="s">
        <v>89</v>
      </c>
      <c r="L68" s="90" t="s">
        <v>89</v>
      </c>
    </row>
    <row r="69" spans="1:12" x14ac:dyDescent="0.35">
      <c r="A69" s="86" t="s">
        <v>95</v>
      </c>
      <c r="B69" s="90" t="s">
        <v>89</v>
      </c>
      <c r="C69" s="87" t="s">
        <v>86</v>
      </c>
      <c r="D69" s="89" t="s">
        <v>88</v>
      </c>
      <c r="E69" s="89" t="s">
        <v>88</v>
      </c>
      <c r="F69" s="91" t="s">
        <v>90</v>
      </c>
      <c r="G69" s="88" t="s">
        <v>87</v>
      </c>
      <c r="H69" s="91" t="s">
        <v>90</v>
      </c>
      <c r="I69" s="91" t="s">
        <v>90</v>
      </c>
      <c r="J69" s="91" t="s">
        <v>90</v>
      </c>
      <c r="K69" s="93" t="s">
        <v>96</v>
      </c>
      <c r="L69" s="90" t="s">
        <v>89</v>
      </c>
    </row>
    <row r="71" spans="1:12" x14ac:dyDescent="0.35">
      <c r="A71" s="86" t="s">
        <v>97</v>
      </c>
      <c r="B71" s="114" t="s">
        <v>98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6"/>
    </row>
  </sheetData>
  <mergeCells count="6">
    <mergeCell ref="B71:L71"/>
    <mergeCell ref="B53:L53"/>
    <mergeCell ref="A2:L2"/>
    <mergeCell ref="A52:L52"/>
    <mergeCell ref="A1:L1"/>
    <mergeCell ref="A20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showGridLines="0" workbookViewId="0"/>
  </sheetViews>
  <sheetFormatPr defaultRowHeight="14.5" x14ac:dyDescent="0.35"/>
  <cols>
    <col min="1" max="1" width="8" customWidth="1"/>
    <col min="2" max="2" width="36" customWidth="1"/>
    <col min="3" max="3" width="62" customWidth="1"/>
    <col min="4" max="4" width="28" customWidth="1"/>
    <col min="5" max="5" width="18" customWidth="1"/>
    <col min="6" max="8" width="12" customWidth="1"/>
    <col min="9" max="10" width="11" customWidth="1"/>
    <col min="11" max="13" width="14" customWidth="1"/>
    <col min="14" max="14" width="30" customWidth="1"/>
    <col min="15" max="15" width="58" customWidth="1"/>
    <col min="16" max="16" width="20" customWidth="1"/>
  </cols>
  <sheetData>
    <row r="1" spans="1:16" ht="28" customHeight="1" x14ac:dyDescent="0.35">
      <c r="A1" s="133" t="s">
        <v>129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6" ht="22" customHeight="1" x14ac:dyDescent="0.35">
      <c r="A2" s="132" t="s">
        <v>130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4" spans="1:16" ht="29.15" customHeight="1" x14ac:dyDescent="0.35">
      <c r="A4" s="101" t="s">
        <v>131</v>
      </c>
      <c r="B4" s="101" t="s">
        <v>132</v>
      </c>
      <c r="C4" s="101" t="s">
        <v>133</v>
      </c>
      <c r="D4" s="101" t="s">
        <v>134</v>
      </c>
      <c r="E4" s="101" t="s">
        <v>135</v>
      </c>
      <c r="F4" s="101" t="s">
        <v>43</v>
      </c>
      <c r="G4" s="101" t="s">
        <v>136</v>
      </c>
      <c r="H4" s="101" t="s">
        <v>137</v>
      </c>
      <c r="I4" s="101" t="s">
        <v>39</v>
      </c>
      <c r="J4" s="101" t="s">
        <v>40</v>
      </c>
      <c r="K4" s="101" t="s">
        <v>41</v>
      </c>
      <c r="L4" s="101" t="s">
        <v>42</v>
      </c>
      <c r="M4" s="101" t="s">
        <v>138</v>
      </c>
      <c r="N4" s="101" t="s">
        <v>139</v>
      </c>
      <c r="O4" s="101" t="s">
        <v>140</v>
      </c>
      <c r="P4" s="101" t="s">
        <v>141</v>
      </c>
    </row>
    <row r="5" spans="1:16" ht="29.15" customHeight="1" x14ac:dyDescent="0.35">
      <c r="A5" s="15">
        <v>1</v>
      </c>
      <c r="B5" s="102" t="s">
        <v>44</v>
      </c>
      <c r="C5" s="15" t="s">
        <v>142</v>
      </c>
      <c r="D5" s="15" t="s">
        <v>143</v>
      </c>
      <c r="E5" s="15" t="s">
        <v>144</v>
      </c>
      <c r="F5" s="17">
        <v>8</v>
      </c>
      <c r="G5" s="17">
        <v>8</v>
      </c>
      <c r="H5" s="17">
        <v>0</v>
      </c>
      <c r="I5" s="15">
        <v>1</v>
      </c>
      <c r="J5" s="15">
        <v>2</v>
      </c>
      <c r="K5" s="16">
        <v>46281</v>
      </c>
      <c r="L5" s="16">
        <v>46292</v>
      </c>
      <c r="M5" s="15">
        <v>2</v>
      </c>
      <c r="N5" s="15" t="s">
        <v>145</v>
      </c>
      <c r="O5" s="15" t="s">
        <v>146</v>
      </c>
      <c r="P5" s="15" t="s">
        <v>119</v>
      </c>
    </row>
    <row r="6" spans="1:16" ht="29.15" customHeight="1" x14ac:dyDescent="0.35">
      <c r="A6" s="15">
        <v>2</v>
      </c>
      <c r="B6" s="18" t="s">
        <v>45</v>
      </c>
      <c r="C6" s="15" t="s">
        <v>147</v>
      </c>
      <c r="D6" s="15" t="s">
        <v>143</v>
      </c>
      <c r="E6" s="15" t="s">
        <v>144</v>
      </c>
      <c r="F6" s="17">
        <v>12</v>
      </c>
      <c r="G6" s="17">
        <v>12</v>
      </c>
      <c r="H6" s="17">
        <v>0</v>
      </c>
      <c r="I6" s="15">
        <v>2</v>
      </c>
      <c r="J6" s="15">
        <v>4</v>
      </c>
      <c r="K6" s="16">
        <v>46288</v>
      </c>
      <c r="L6" s="16">
        <v>46306</v>
      </c>
      <c r="M6" s="15">
        <v>3</v>
      </c>
      <c r="N6" s="15" t="s">
        <v>44</v>
      </c>
      <c r="O6" s="15" t="s">
        <v>148</v>
      </c>
      <c r="P6" s="15" t="s">
        <v>119</v>
      </c>
    </row>
    <row r="7" spans="1:16" ht="29.15" customHeight="1" x14ac:dyDescent="0.35">
      <c r="A7" s="15">
        <v>3</v>
      </c>
      <c r="B7" s="19" t="s">
        <v>46</v>
      </c>
      <c r="C7" s="15" t="s">
        <v>149</v>
      </c>
      <c r="D7" s="15" t="s">
        <v>143</v>
      </c>
      <c r="E7" s="15" t="s">
        <v>144</v>
      </c>
      <c r="F7" s="17">
        <v>12</v>
      </c>
      <c r="G7" s="17">
        <v>12</v>
      </c>
      <c r="H7" s="17">
        <v>0</v>
      </c>
      <c r="I7" s="15">
        <v>5</v>
      </c>
      <c r="J7" s="15">
        <v>7</v>
      </c>
      <c r="K7" s="16">
        <v>46309</v>
      </c>
      <c r="L7" s="16">
        <v>46327</v>
      </c>
      <c r="M7" s="15">
        <v>3</v>
      </c>
      <c r="N7" s="15" t="s">
        <v>45</v>
      </c>
      <c r="O7" s="15" t="s">
        <v>150</v>
      </c>
      <c r="P7" s="15" t="s">
        <v>119</v>
      </c>
    </row>
    <row r="8" spans="1:16" ht="29.15" customHeight="1" x14ac:dyDescent="0.35">
      <c r="A8" s="15">
        <v>4</v>
      </c>
      <c r="B8" s="20" t="s">
        <v>47</v>
      </c>
      <c r="C8" s="15" t="s">
        <v>151</v>
      </c>
      <c r="D8" s="15" t="s">
        <v>143</v>
      </c>
      <c r="E8" s="15" t="s">
        <v>144</v>
      </c>
      <c r="F8" s="17">
        <v>22</v>
      </c>
      <c r="G8" s="17">
        <v>22</v>
      </c>
      <c r="H8" s="17">
        <v>0</v>
      </c>
      <c r="I8" s="15">
        <v>7</v>
      </c>
      <c r="J8" s="15">
        <v>11</v>
      </c>
      <c r="K8" s="16">
        <v>46323</v>
      </c>
      <c r="L8" s="16">
        <v>46355</v>
      </c>
      <c r="M8" s="15">
        <v>5</v>
      </c>
      <c r="N8" s="15" t="s">
        <v>46</v>
      </c>
      <c r="O8" s="15" t="s">
        <v>152</v>
      </c>
      <c r="P8" s="15" t="s">
        <v>119</v>
      </c>
    </row>
    <row r="9" spans="1:16" ht="29.15" customHeight="1" x14ac:dyDescent="0.35">
      <c r="A9" s="15">
        <v>5</v>
      </c>
      <c r="B9" s="21" t="s">
        <v>48</v>
      </c>
      <c r="C9" s="15" t="s">
        <v>153</v>
      </c>
      <c r="D9" s="15" t="s">
        <v>143</v>
      </c>
      <c r="E9" s="15" t="s">
        <v>154</v>
      </c>
      <c r="F9" s="17">
        <v>69</v>
      </c>
      <c r="G9" s="17">
        <v>69</v>
      </c>
      <c r="H9" s="17">
        <v>0</v>
      </c>
      <c r="I9" s="15">
        <v>7</v>
      </c>
      <c r="J9" s="15">
        <v>38</v>
      </c>
      <c r="K9" s="16">
        <v>46323</v>
      </c>
      <c r="L9" s="16">
        <v>46544</v>
      </c>
      <c r="M9" s="15">
        <v>32</v>
      </c>
      <c r="N9" s="15" t="s">
        <v>155</v>
      </c>
      <c r="O9" s="15" t="s">
        <v>156</v>
      </c>
      <c r="P9" s="15" t="s">
        <v>119</v>
      </c>
    </row>
    <row r="10" spans="1:16" ht="29.15" customHeight="1" x14ac:dyDescent="0.35">
      <c r="A10" s="15">
        <v>6</v>
      </c>
      <c r="B10" s="22" t="s">
        <v>49</v>
      </c>
      <c r="C10" s="15" t="s">
        <v>157</v>
      </c>
      <c r="D10" s="15" t="s">
        <v>158</v>
      </c>
      <c r="E10" s="15" t="s">
        <v>144</v>
      </c>
      <c r="F10" s="17">
        <v>2</v>
      </c>
      <c r="G10" s="17">
        <v>2</v>
      </c>
      <c r="H10" s="17">
        <v>0</v>
      </c>
      <c r="I10" s="15">
        <v>12</v>
      </c>
      <c r="J10" s="15">
        <v>12</v>
      </c>
      <c r="K10" s="16">
        <v>46358</v>
      </c>
      <c r="L10" s="16">
        <v>46362</v>
      </c>
      <c r="M10" s="15">
        <v>1</v>
      </c>
      <c r="N10" s="15" t="s">
        <v>47</v>
      </c>
      <c r="O10" s="15" t="s">
        <v>159</v>
      </c>
      <c r="P10" s="15" t="s">
        <v>119</v>
      </c>
    </row>
    <row r="11" spans="1:16" ht="29.15" customHeight="1" x14ac:dyDescent="0.35">
      <c r="A11" s="15">
        <v>7</v>
      </c>
      <c r="B11" s="22" t="s">
        <v>49</v>
      </c>
      <c r="C11" s="15" t="s">
        <v>160</v>
      </c>
      <c r="D11" s="15" t="s">
        <v>161</v>
      </c>
      <c r="E11" s="15" t="s">
        <v>144</v>
      </c>
      <c r="F11" s="17">
        <v>8</v>
      </c>
      <c r="G11" s="17">
        <v>8</v>
      </c>
      <c r="H11" s="17">
        <v>0</v>
      </c>
      <c r="I11" s="15">
        <v>13</v>
      </c>
      <c r="J11" s="15">
        <v>14</v>
      </c>
      <c r="K11" s="16">
        <v>46365</v>
      </c>
      <c r="L11" s="16">
        <v>46376</v>
      </c>
      <c r="M11" s="15">
        <v>2</v>
      </c>
      <c r="N11" s="15" t="s">
        <v>47</v>
      </c>
      <c r="O11" s="15" t="s">
        <v>159</v>
      </c>
      <c r="P11" s="15" t="s">
        <v>119</v>
      </c>
    </row>
    <row r="12" spans="1:16" ht="29.15" customHeight="1" x14ac:dyDescent="0.35">
      <c r="A12" s="15">
        <v>8</v>
      </c>
      <c r="B12" s="22" t="s">
        <v>49</v>
      </c>
      <c r="C12" s="15" t="s">
        <v>162</v>
      </c>
      <c r="D12" s="15" t="s">
        <v>163</v>
      </c>
      <c r="E12" s="15" t="s">
        <v>144</v>
      </c>
      <c r="F12" s="17">
        <v>2</v>
      </c>
      <c r="G12" s="17">
        <v>2</v>
      </c>
      <c r="H12" s="17">
        <v>0</v>
      </c>
      <c r="I12" s="15">
        <v>15</v>
      </c>
      <c r="J12" s="15">
        <v>15</v>
      </c>
      <c r="K12" s="16">
        <v>46379</v>
      </c>
      <c r="L12" s="16">
        <v>46383</v>
      </c>
      <c r="M12" s="15">
        <v>1</v>
      </c>
      <c r="N12" s="15" t="s">
        <v>47</v>
      </c>
      <c r="O12" s="15" t="s">
        <v>159</v>
      </c>
      <c r="P12" s="15" t="s">
        <v>119</v>
      </c>
    </row>
    <row r="13" spans="1:16" ht="29.15" customHeight="1" x14ac:dyDescent="0.35">
      <c r="A13" s="15">
        <v>9</v>
      </c>
      <c r="B13" s="22" t="s">
        <v>49</v>
      </c>
      <c r="C13" s="15" t="s">
        <v>164</v>
      </c>
      <c r="D13" s="15" t="s">
        <v>165</v>
      </c>
      <c r="E13" s="15" t="s">
        <v>144</v>
      </c>
      <c r="F13" s="17">
        <v>2</v>
      </c>
      <c r="G13" s="17">
        <v>2</v>
      </c>
      <c r="H13" s="17">
        <v>0</v>
      </c>
      <c r="I13" s="15">
        <v>15</v>
      </c>
      <c r="J13" s="15">
        <v>15</v>
      </c>
      <c r="K13" s="16">
        <v>46379</v>
      </c>
      <c r="L13" s="16">
        <v>46383</v>
      </c>
      <c r="M13" s="15">
        <v>1</v>
      </c>
      <c r="N13" s="15" t="s">
        <v>47</v>
      </c>
      <c r="O13" s="15" t="s">
        <v>159</v>
      </c>
      <c r="P13" s="15" t="s">
        <v>119</v>
      </c>
    </row>
    <row r="14" spans="1:16" ht="29.15" customHeight="1" x14ac:dyDescent="0.35">
      <c r="A14" s="15">
        <v>10</v>
      </c>
      <c r="B14" s="22" t="s">
        <v>49</v>
      </c>
      <c r="C14" s="15" t="s">
        <v>166</v>
      </c>
      <c r="D14" s="15" t="s">
        <v>167</v>
      </c>
      <c r="E14" s="15" t="s">
        <v>144</v>
      </c>
      <c r="F14" s="17">
        <v>2</v>
      </c>
      <c r="G14" s="17">
        <v>2</v>
      </c>
      <c r="H14" s="17">
        <v>0</v>
      </c>
      <c r="I14" s="15">
        <v>16</v>
      </c>
      <c r="J14" s="15">
        <v>16</v>
      </c>
      <c r="K14" s="16">
        <v>46386</v>
      </c>
      <c r="L14" s="16">
        <v>46390</v>
      </c>
      <c r="M14" s="15">
        <v>1</v>
      </c>
      <c r="N14" s="15" t="s">
        <v>47</v>
      </c>
      <c r="O14" s="15" t="s">
        <v>159</v>
      </c>
      <c r="P14" s="15" t="s">
        <v>119</v>
      </c>
    </row>
    <row r="15" spans="1:16" ht="29.15" customHeight="1" x14ac:dyDescent="0.35">
      <c r="A15" s="15">
        <v>11</v>
      </c>
      <c r="B15" s="22" t="s">
        <v>49</v>
      </c>
      <c r="C15" s="15" t="s">
        <v>168</v>
      </c>
      <c r="D15" s="15" t="s">
        <v>169</v>
      </c>
      <c r="E15" s="15" t="s">
        <v>144</v>
      </c>
      <c r="F15" s="17">
        <v>2</v>
      </c>
      <c r="G15" s="17">
        <v>2</v>
      </c>
      <c r="H15" s="17">
        <v>0</v>
      </c>
      <c r="I15" s="15">
        <v>16</v>
      </c>
      <c r="J15" s="15">
        <v>16</v>
      </c>
      <c r="K15" s="16">
        <v>46386</v>
      </c>
      <c r="L15" s="16">
        <v>46390</v>
      </c>
      <c r="M15" s="15">
        <v>1</v>
      </c>
      <c r="N15" s="15" t="s">
        <v>47</v>
      </c>
      <c r="O15" s="15" t="s">
        <v>159</v>
      </c>
      <c r="P15" s="15" t="s">
        <v>119</v>
      </c>
    </row>
    <row r="16" spans="1:16" ht="29.15" customHeight="1" x14ac:dyDescent="0.35">
      <c r="A16" s="15">
        <v>12</v>
      </c>
      <c r="B16" s="22" t="s">
        <v>49</v>
      </c>
      <c r="C16" s="15" t="s">
        <v>170</v>
      </c>
      <c r="D16" s="15" t="s">
        <v>171</v>
      </c>
      <c r="E16" s="15" t="s">
        <v>144</v>
      </c>
      <c r="F16" s="17">
        <v>2</v>
      </c>
      <c r="G16" s="17">
        <v>2</v>
      </c>
      <c r="H16" s="17">
        <v>0</v>
      </c>
      <c r="I16" s="15">
        <v>17</v>
      </c>
      <c r="J16" s="15">
        <v>17</v>
      </c>
      <c r="K16" s="16">
        <v>46393</v>
      </c>
      <c r="L16" s="16">
        <v>46397</v>
      </c>
      <c r="M16" s="15">
        <v>1</v>
      </c>
      <c r="N16" s="15" t="s">
        <v>47</v>
      </c>
      <c r="O16" s="15" t="s">
        <v>159</v>
      </c>
      <c r="P16" s="15" t="s">
        <v>119</v>
      </c>
    </row>
    <row r="17" spans="1:16" ht="29.15" customHeight="1" x14ac:dyDescent="0.35">
      <c r="A17" s="15">
        <v>13</v>
      </c>
      <c r="B17" s="22" t="s">
        <v>49</v>
      </c>
      <c r="C17" s="15" t="s">
        <v>172</v>
      </c>
      <c r="D17" s="15" t="s">
        <v>173</v>
      </c>
      <c r="E17" s="15" t="s">
        <v>144</v>
      </c>
      <c r="F17" s="17">
        <v>2</v>
      </c>
      <c r="G17" s="17">
        <v>2</v>
      </c>
      <c r="H17" s="17">
        <v>0</v>
      </c>
      <c r="I17" s="15">
        <v>17</v>
      </c>
      <c r="J17" s="15">
        <v>17</v>
      </c>
      <c r="K17" s="16">
        <v>46393</v>
      </c>
      <c r="L17" s="16">
        <v>46397</v>
      </c>
      <c r="M17" s="15">
        <v>1</v>
      </c>
      <c r="N17" s="15" t="s">
        <v>47</v>
      </c>
      <c r="O17" s="15" t="s">
        <v>159</v>
      </c>
      <c r="P17" s="15" t="s">
        <v>119</v>
      </c>
    </row>
    <row r="18" spans="1:16" ht="29.15" customHeight="1" x14ac:dyDescent="0.35">
      <c r="A18" s="15">
        <v>14</v>
      </c>
      <c r="B18" s="103" t="s">
        <v>50</v>
      </c>
      <c r="C18" s="15" t="s">
        <v>174</v>
      </c>
      <c r="D18" s="15" t="s">
        <v>158</v>
      </c>
      <c r="E18" s="15" t="s">
        <v>175</v>
      </c>
      <c r="F18" s="17">
        <v>4</v>
      </c>
      <c r="G18" s="17">
        <v>4</v>
      </c>
      <c r="H18" s="17">
        <v>0</v>
      </c>
      <c r="I18" s="15">
        <v>18</v>
      </c>
      <c r="J18" s="15">
        <v>18</v>
      </c>
      <c r="K18" s="16">
        <v>46400</v>
      </c>
      <c r="L18" s="16">
        <v>46404</v>
      </c>
      <c r="M18" s="15">
        <v>1</v>
      </c>
      <c r="N18" s="15" t="s">
        <v>176</v>
      </c>
      <c r="O18" s="15" t="s">
        <v>177</v>
      </c>
      <c r="P18" s="15" t="s">
        <v>119</v>
      </c>
    </row>
    <row r="19" spans="1:16" ht="29.15" customHeight="1" x14ac:dyDescent="0.35">
      <c r="A19" s="15">
        <v>15</v>
      </c>
      <c r="B19" s="103" t="s">
        <v>50</v>
      </c>
      <c r="C19" s="15" t="s">
        <v>178</v>
      </c>
      <c r="D19" s="15" t="s">
        <v>161</v>
      </c>
      <c r="E19" s="15" t="s">
        <v>175</v>
      </c>
      <c r="F19" s="17">
        <v>8</v>
      </c>
      <c r="G19" s="17">
        <v>8</v>
      </c>
      <c r="H19" s="17">
        <v>0</v>
      </c>
      <c r="I19" s="15">
        <v>18</v>
      </c>
      <c r="J19" s="15">
        <v>20</v>
      </c>
      <c r="K19" s="16">
        <v>46400</v>
      </c>
      <c r="L19" s="16">
        <v>46418</v>
      </c>
      <c r="M19" s="15">
        <v>3</v>
      </c>
      <c r="N19" s="15" t="s">
        <v>176</v>
      </c>
      <c r="O19" s="15" t="s">
        <v>177</v>
      </c>
      <c r="P19" s="15" t="s">
        <v>119</v>
      </c>
    </row>
    <row r="20" spans="1:16" ht="29.15" customHeight="1" x14ac:dyDescent="0.35">
      <c r="A20" s="15">
        <v>16</v>
      </c>
      <c r="B20" s="103" t="s">
        <v>50</v>
      </c>
      <c r="C20" s="15" t="s">
        <v>179</v>
      </c>
      <c r="D20" s="15" t="s">
        <v>163</v>
      </c>
      <c r="E20" s="15" t="s">
        <v>175</v>
      </c>
      <c r="F20" s="17">
        <v>4</v>
      </c>
      <c r="G20" s="17">
        <v>4</v>
      </c>
      <c r="H20" s="17">
        <v>0</v>
      </c>
      <c r="I20" s="15">
        <v>20</v>
      </c>
      <c r="J20" s="15">
        <v>20</v>
      </c>
      <c r="K20" s="16">
        <v>46414</v>
      </c>
      <c r="L20" s="16">
        <v>46418</v>
      </c>
      <c r="M20" s="15">
        <v>1</v>
      </c>
      <c r="N20" s="15" t="s">
        <v>176</v>
      </c>
      <c r="O20" s="15" t="s">
        <v>177</v>
      </c>
      <c r="P20" s="15" t="s">
        <v>119</v>
      </c>
    </row>
    <row r="21" spans="1:16" ht="29.15" customHeight="1" x14ac:dyDescent="0.35">
      <c r="A21" s="15">
        <v>17</v>
      </c>
      <c r="B21" s="103" t="s">
        <v>50</v>
      </c>
      <c r="C21" s="15" t="s">
        <v>180</v>
      </c>
      <c r="D21" s="15" t="s">
        <v>165</v>
      </c>
      <c r="E21" s="15" t="s">
        <v>175</v>
      </c>
      <c r="F21" s="17">
        <v>4</v>
      </c>
      <c r="G21" s="17">
        <v>4</v>
      </c>
      <c r="H21" s="17">
        <v>0</v>
      </c>
      <c r="I21" s="15">
        <v>21</v>
      </c>
      <c r="J21" s="15">
        <v>21</v>
      </c>
      <c r="K21" s="16">
        <v>46421</v>
      </c>
      <c r="L21" s="16">
        <v>46425</v>
      </c>
      <c r="M21" s="15">
        <v>1</v>
      </c>
      <c r="N21" s="15" t="s">
        <v>176</v>
      </c>
      <c r="O21" s="15" t="s">
        <v>177</v>
      </c>
      <c r="P21" s="15" t="s">
        <v>119</v>
      </c>
    </row>
    <row r="22" spans="1:16" ht="29.15" customHeight="1" x14ac:dyDescent="0.35">
      <c r="A22" s="15">
        <v>18</v>
      </c>
      <c r="B22" s="103" t="s">
        <v>50</v>
      </c>
      <c r="C22" s="15" t="s">
        <v>181</v>
      </c>
      <c r="D22" s="15" t="s">
        <v>167</v>
      </c>
      <c r="E22" s="15" t="s">
        <v>175</v>
      </c>
      <c r="F22" s="17">
        <v>4</v>
      </c>
      <c r="G22" s="17">
        <v>4</v>
      </c>
      <c r="H22" s="17">
        <v>0</v>
      </c>
      <c r="I22" s="15">
        <v>22</v>
      </c>
      <c r="J22" s="15">
        <v>22</v>
      </c>
      <c r="K22" s="16">
        <v>46428</v>
      </c>
      <c r="L22" s="16">
        <v>46432</v>
      </c>
      <c r="M22" s="15">
        <v>1</v>
      </c>
      <c r="N22" s="15" t="s">
        <v>176</v>
      </c>
      <c r="O22" s="15" t="s">
        <v>177</v>
      </c>
      <c r="P22" s="15" t="s">
        <v>119</v>
      </c>
    </row>
    <row r="23" spans="1:16" ht="29.15" customHeight="1" x14ac:dyDescent="0.35">
      <c r="A23" s="15">
        <v>19</v>
      </c>
      <c r="B23" s="103" t="s">
        <v>50</v>
      </c>
      <c r="C23" s="15" t="s">
        <v>182</v>
      </c>
      <c r="D23" s="15" t="s">
        <v>169</v>
      </c>
      <c r="E23" s="15" t="s">
        <v>175</v>
      </c>
      <c r="F23" s="17">
        <v>4</v>
      </c>
      <c r="G23" s="17">
        <v>4</v>
      </c>
      <c r="H23" s="17">
        <v>0</v>
      </c>
      <c r="I23" s="15">
        <v>23</v>
      </c>
      <c r="J23" s="15">
        <v>23</v>
      </c>
      <c r="K23" s="16">
        <v>46435</v>
      </c>
      <c r="L23" s="16">
        <v>46439</v>
      </c>
      <c r="M23" s="15">
        <v>1</v>
      </c>
      <c r="N23" s="15" t="s">
        <v>176</v>
      </c>
      <c r="O23" s="15" t="s">
        <v>177</v>
      </c>
      <c r="P23" s="15" t="s">
        <v>119</v>
      </c>
    </row>
    <row r="24" spans="1:16" ht="29.15" customHeight="1" x14ac:dyDescent="0.35">
      <c r="A24" s="15">
        <v>20</v>
      </c>
      <c r="B24" s="103" t="s">
        <v>50</v>
      </c>
      <c r="C24" s="15" t="s">
        <v>183</v>
      </c>
      <c r="D24" s="15" t="s">
        <v>171</v>
      </c>
      <c r="E24" s="15" t="s">
        <v>175</v>
      </c>
      <c r="F24" s="17">
        <v>4</v>
      </c>
      <c r="G24" s="17">
        <v>4</v>
      </c>
      <c r="H24" s="17">
        <v>0</v>
      </c>
      <c r="I24" s="15">
        <v>24</v>
      </c>
      <c r="J24" s="15">
        <v>24</v>
      </c>
      <c r="K24" s="16">
        <v>46442</v>
      </c>
      <c r="L24" s="16">
        <v>46446</v>
      </c>
      <c r="M24" s="15">
        <v>1</v>
      </c>
      <c r="N24" s="15" t="s">
        <v>176</v>
      </c>
      <c r="O24" s="15" t="s">
        <v>177</v>
      </c>
      <c r="P24" s="15" t="s">
        <v>119</v>
      </c>
    </row>
    <row r="25" spans="1:16" ht="29.15" customHeight="1" x14ac:dyDescent="0.35">
      <c r="A25" s="15">
        <v>21</v>
      </c>
      <c r="B25" s="103" t="s">
        <v>50</v>
      </c>
      <c r="C25" s="15" t="s">
        <v>184</v>
      </c>
      <c r="D25" s="15" t="s">
        <v>173</v>
      </c>
      <c r="E25" s="15" t="s">
        <v>175</v>
      </c>
      <c r="F25" s="17">
        <v>4</v>
      </c>
      <c r="G25" s="17">
        <v>4</v>
      </c>
      <c r="H25" s="17">
        <v>0</v>
      </c>
      <c r="I25" s="15">
        <v>25</v>
      </c>
      <c r="J25" s="15">
        <v>25</v>
      </c>
      <c r="K25" s="16">
        <v>46449</v>
      </c>
      <c r="L25" s="16">
        <v>46453</v>
      </c>
      <c r="M25" s="15">
        <v>1</v>
      </c>
      <c r="N25" s="15" t="s">
        <v>176</v>
      </c>
      <c r="O25" s="15" t="s">
        <v>177</v>
      </c>
      <c r="P25" s="15" t="s">
        <v>119</v>
      </c>
    </row>
    <row r="26" spans="1:16" ht="29.15" customHeight="1" x14ac:dyDescent="0.35">
      <c r="A26" s="15">
        <v>22</v>
      </c>
      <c r="B26" s="23" t="s">
        <v>51</v>
      </c>
      <c r="C26" s="15" t="s">
        <v>185</v>
      </c>
      <c r="D26" s="15" t="s">
        <v>158</v>
      </c>
      <c r="E26" s="15" t="s">
        <v>175</v>
      </c>
      <c r="F26" s="17">
        <v>21</v>
      </c>
      <c r="G26" s="17">
        <v>21</v>
      </c>
      <c r="H26" s="17">
        <v>0</v>
      </c>
      <c r="I26" s="15">
        <v>21</v>
      </c>
      <c r="J26" s="15">
        <v>29</v>
      </c>
      <c r="K26" s="16">
        <v>46421</v>
      </c>
      <c r="L26" s="16">
        <v>46481</v>
      </c>
      <c r="M26" s="15">
        <v>9</v>
      </c>
      <c r="N26" s="15" t="s">
        <v>186</v>
      </c>
      <c r="O26" s="15" t="s">
        <v>187</v>
      </c>
      <c r="P26" s="15" t="s">
        <v>119</v>
      </c>
    </row>
    <row r="27" spans="1:16" ht="29.15" customHeight="1" x14ac:dyDescent="0.35">
      <c r="A27" s="15">
        <v>23</v>
      </c>
      <c r="B27" s="24" t="s">
        <v>52</v>
      </c>
      <c r="C27" s="15" t="s">
        <v>188</v>
      </c>
      <c r="D27" s="15" t="s">
        <v>143</v>
      </c>
      <c r="E27" s="15" t="s">
        <v>175</v>
      </c>
      <c r="F27" s="17">
        <v>4</v>
      </c>
      <c r="G27" s="17">
        <v>4</v>
      </c>
      <c r="H27" s="17">
        <v>0</v>
      </c>
      <c r="I27" s="15">
        <v>26</v>
      </c>
      <c r="J27" s="15">
        <v>29</v>
      </c>
      <c r="K27" s="16">
        <v>46456</v>
      </c>
      <c r="L27" s="16">
        <v>46481</v>
      </c>
      <c r="M27" s="15">
        <v>4</v>
      </c>
      <c r="N27" s="15" t="s">
        <v>189</v>
      </c>
      <c r="O27" s="15" t="s">
        <v>190</v>
      </c>
      <c r="P27" s="15" t="s">
        <v>119</v>
      </c>
    </row>
    <row r="28" spans="1:16" ht="29.15" customHeight="1" x14ac:dyDescent="0.35">
      <c r="A28" s="15">
        <v>24</v>
      </c>
      <c r="B28" s="23" t="s">
        <v>51</v>
      </c>
      <c r="C28" s="15" t="s">
        <v>51</v>
      </c>
      <c r="D28" s="15" t="s">
        <v>143</v>
      </c>
      <c r="E28" s="15" t="s">
        <v>175</v>
      </c>
      <c r="F28" s="17">
        <v>29</v>
      </c>
      <c r="G28" s="17">
        <v>29</v>
      </c>
      <c r="H28" s="17">
        <v>0</v>
      </c>
      <c r="I28" s="15">
        <v>30</v>
      </c>
      <c r="J28" s="15">
        <v>36</v>
      </c>
      <c r="K28" s="16">
        <v>46484</v>
      </c>
      <c r="L28" s="16">
        <v>46530</v>
      </c>
      <c r="M28" s="15">
        <v>7</v>
      </c>
      <c r="N28" s="15" t="s">
        <v>186</v>
      </c>
      <c r="O28" s="15" t="s">
        <v>187</v>
      </c>
      <c r="P28" s="15" t="s">
        <v>119</v>
      </c>
    </row>
    <row r="29" spans="1:16" ht="29.15" customHeight="1" x14ac:dyDescent="0.35">
      <c r="A29" s="15">
        <v>25</v>
      </c>
      <c r="B29" s="24" t="s">
        <v>52</v>
      </c>
      <c r="C29" s="15" t="s">
        <v>191</v>
      </c>
      <c r="D29" s="15" t="s">
        <v>143</v>
      </c>
      <c r="E29" s="15" t="s">
        <v>175</v>
      </c>
      <c r="F29" s="17">
        <v>4</v>
      </c>
      <c r="G29" s="17">
        <v>4</v>
      </c>
      <c r="H29" s="17">
        <v>0</v>
      </c>
      <c r="I29" s="15">
        <v>30</v>
      </c>
      <c r="J29" s="15">
        <v>33</v>
      </c>
      <c r="K29" s="16">
        <v>46484</v>
      </c>
      <c r="L29" s="16">
        <v>46509</v>
      </c>
      <c r="M29" s="15">
        <v>4</v>
      </c>
      <c r="N29" s="15" t="s">
        <v>189</v>
      </c>
      <c r="O29" s="15" t="s">
        <v>190</v>
      </c>
      <c r="P29" s="15" t="s">
        <v>119</v>
      </c>
    </row>
    <row r="30" spans="1:16" ht="29.15" customHeight="1" x14ac:dyDescent="0.35">
      <c r="A30" s="15">
        <v>26</v>
      </c>
      <c r="B30" s="23" t="s">
        <v>51</v>
      </c>
      <c r="C30" s="15" t="s">
        <v>192</v>
      </c>
      <c r="D30" s="15" t="s">
        <v>161</v>
      </c>
      <c r="E30" s="15" t="s">
        <v>81</v>
      </c>
      <c r="F30" s="17">
        <v>35</v>
      </c>
      <c r="G30" s="17">
        <v>35</v>
      </c>
      <c r="H30" s="17">
        <v>0</v>
      </c>
      <c r="I30" s="15">
        <v>19</v>
      </c>
      <c r="J30" s="15">
        <v>25</v>
      </c>
      <c r="K30" s="16">
        <v>46407</v>
      </c>
      <c r="L30" s="16">
        <v>46453</v>
      </c>
      <c r="M30" s="15">
        <v>7</v>
      </c>
      <c r="N30" s="15" t="s">
        <v>186</v>
      </c>
      <c r="O30" s="15" t="s">
        <v>187</v>
      </c>
      <c r="P30" s="15" t="s">
        <v>119</v>
      </c>
    </row>
    <row r="31" spans="1:16" ht="29.15" customHeight="1" x14ac:dyDescent="0.35">
      <c r="A31" s="15">
        <v>27</v>
      </c>
      <c r="B31" s="23" t="s">
        <v>51</v>
      </c>
      <c r="C31" s="15" t="s">
        <v>193</v>
      </c>
      <c r="D31" s="15" t="s">
        <v>163</v>
      </c>
      <c r="E31" s="15" t="s">
        <v>81</v>
      </c>
      <c r="F31" s="17">
        <v>35</v>
      </c>
      <c r="G31" s="17">
        <v>35</v>
      </c>
      <c r="H31" s="17">
        <v>0</v>
      </c>
      <c r="I31" s="15">
        <v>26</v>
      </c>
      <c r="J31" s="15">
        <v>32</v>
      </c>
      <c r="K31" s="16">
        <v>46456</v>
      </c>
      <c r="L31" s="16">
        <v>46502</v>
      </c>
      <c r="M31" s="15">
        <v>7</v>
      </c>
      <c r="N31" s="15" t="s">
        <v>186</v>
      </c>
      <c r="O31" s="15" t="s">
        <v>187</v>
      </c>
      <c r="P31" s="15" t="s">
        <v>119</v>
      </c>
    </row>
    <row r="32" spans="1:16" ht="29.15" customHeight="1" x14ac:dyDescent="0.35">
      <c r="A32" s="15">
        <v>28</v>
      </c>
      <c r="B32" s="23" t="s">
        <v>51</v>
      </c>
      <c r="C32" s="15" t="s">
        <v>194</v>
      </c>
      <c r="D32" s="15" t="s">
        <v>165</v>
      </c>
      <c r="E32" s="15" t="s">
        <v>81</v>
      </c>
      <c r="F32" s="17">
        <v>15</v>
      </c>
      <c r="G32" s="17">
        <v>15</v>
      </c>
      <c r="H32" s="17">
        <v>0</v>
      </c>
      <c r="I32" s="15">
        <v>33</v>
      </c>
      <c r="J32" s="15">
        <v>35</v>
      </c>
      <c r="K32" s="16">
        <v>46505</v>
      </c>
      <c r="L32" s="16">
        <v>46523</v>
      </c>
      <c r="M32" s="15">
        <v>3</v>
      </c>
      <c r="N32" s="15" t="s">
        <v>186</v>
      </c>
      <c r="O32" s="15" t="s">
        <v>187</v>
      </c>
      <c r="P32" s="15" t="s">
        <v>119</v>
      </c>
    </row>
    <row r="33" spans="1:16" ht="29.15" customHeight="1" x14ac:dyDescent="0.35">
      <c r="A33" s="15">
        <v>29</v>
      </c>
      <c r="B33" s="23" t="s">
        <v>51</v>
      </c>
      <c r="C33" s="15" t="s">
        <v>195</v>
      </c>
      <c r="D33" s="15" t="s">
        <v>167</v>
      </c>
      <c r="E33" s="15" t="s">
        <v>82</v>
      </c>
      <c r="F33" s="17">
        <v>25</v>
      </c>
      <c r="G33" s="17">
        <v>25</v>
      </c>
      <c r="H33" s="17">
        <v>0</v>
      </c>
      <c r="I33" s="15">
        <v>19</v>
      </c>
      <c r="J33" s="15">
        <v>23</v>
      </c>
      <c r="K33" s="16">
        <v>46407</v>
      </c>
      <c r="L33" s="16">
        <v>46439</v>
      </c>
      <c r="M33" s="15">
        <v>5</v>
      </c>
      <c r="N33" s="15" t="s">
        <v>186</v>
      </c>
      <c r="O33" s="15" t="s">
        <v>187</v>
      </c>
      <c r="P33" s="15" t="s">
        <v>119</v>
      </c>
    </row>
    <row r="34" spans="1:16" ht="29.15" customHeight="1" x14ac:dyDescent="0.35">
      <c r="A34" s="15">
        <v>30</v>
      </c>
      <c r="B34" s="23" t="s">
        <v>51</v>
      </c>
      <c r="C34" s="15" t="s">
        <v>196</v>
      </c>
      <c r="D34" s="15" t="s">
        <v>169</v>
      </c>
      <c r="E34" s="15" t="s">
        <v>82</v>
      </c>
      <c r="F34" s="17">
        <v>25</v>
      </c>
      <c r="G34" s="17">
        <v>25</v>
      </c>
      <c r="H34" s="17">
        <v>0</v>
      </c>
      <c r="I34" s="15">
        <v>24</v>
      </c>
      <c r="J34" s="15">
        <v>28</v>
      </c>
      <c r="K34" s="16">
        <v>46442</v>
      </c>
      <c r="L34" s="16">
        <v>46474</v>
      </c>
      <c r="M34" s="15">
        <v>5</v>
      </c>
      <c r="N34" s="15" t="s">
        <v>186</v>
      </c>
      <c r="O34" s="15" t="s">
        <v>187</v>
      </c>
      <c r="P34" s="15" t="s">
        <v>119</v>
      </c>
    </row>
    <row r="35" spans="1:16" ht="29.15" customHeight="1" x14ac:dyDescent="0.35">
      <c r="A35" s="15">
        <v>31</v>
      </c>
      <c r="B35" s="23" t="s">
        <v>51</v>
      </c>
      <c r="C35" s="15" t="s">
        <v>197</v>
      </c>
      <c r="D35" s="15" t="s">
        <v>171</v>
      </c>
      <c r="E35" s="15" t="s">
        <v>82</v>
      </c>
      <c r="F35" s="17">
        <v>25</v>
      </c>
      <c r="G35" s="17">
        <v>25</v>
      </c>
      <c r="H35" s="17">
        <v>0</v>
      </c>
      <c r="I35" s="15">
        <v>29</v>
      </c>
      <c r="J35" s="15">
        <v>33</v>
      </c>
      <c r="K35" s="16">
        <v>46477</v>
      </c>
      <c r="L35" s="16">
        <v>46509</v>
      </c>
      <c r="M35" s="15">
        <v>5</v>
      </c>
      <c r="N35" s="15" t="s">
        <v>186</v>
      </c>
      <c r="O35" s="15" t="s">
        <v>187</v>
      </c>
      <c r="P35" s="15" t="s">
        <v>119</v>
      </c>
    </row>
    <row r="36" spans="1:16" ht="29.15" customHeight="1" x14ac:dyDescent="0.35">
      <c r="A36" s="15">
        <v>32</v>
      </c>
      <c r="B36" s="23" t="s">
        <v>51</v>
      </c>
      <c r="C36" s="15" t="s">
        <v>198</v>
      </c>
      <c r="D36" s="15" t="s">
        <v>173</v>
      </c>
      <c r="E36" s="15" t="s">
        <v>82</v>
      </c>
      <c r="F36" s="17">
        <v>10</v>
      </c>
      <c r="G36" s="17">
        <v>10</v>
      </c>
      <c r="H36" s="17">
        <v>0</v>
      </c>
      <c r="I36" s="15">
        <v>34</v>
      </c>
      <c r="J36" s="15">
        <v>35</v>
      </c>
      <c r="K36" s="16">
        <v>46512</v>
      </c>
      <c r="L36" s="16">
        <v>46523</v>
      </c>
      <c r="M36" s="15">
        <v>2</v>
      </c>
      <c r="N36" s="15" t="s">
        <v>186</v>
      </c>
      <c r="O36" s="15" t="s">
        <v>187</v>
      </c>
      <c r="P36" s="15" t="s">
        <v>119</v>
      </c>
    </row>
    <row r="37" spans="1:16" ht="29.15" customHeight="1" x14ac:dyDescent="0.35">
      <c r="A37" s="15">
        <v>33</v>
      </c>
      <c r="B37" s="25" t="s">
        <v>53</v>
      </c>
      <c r="C37" s="15" t="s">
        <v>199</v>
      </c>
      <c r="D37" s="15" t="s">
        <v>158</v>
      </c>
      <c r="E37" s="15" t="s">
        <v>144</v>
      </c>
      <c r="F37" s="17">
        <v>2</v>
      </c>
      <c r="G37" s="17">
        <v>2</v>
      </c>
      <c r="H37" s="17">
        <v>0</v>
      </c>
      <c r="I37" s="15">
        <v>27</v>
      </c>
      <c r="J37" s="15">
        <v>27</v>
      </c>
      <c r="K37" s="16">
        <v>46463</v>
      </c>
      <c r="L37" s="16">
        <v>46467</v>
      </c>
      <c r="M37" s="15">
        <v>1</v>
      </c>
      <c r="N37" s="15" t="s">
        <v>200</v>
      </c>
      <c r="O37" s="15" t="s">
        <v>201</v>
      </c>
      <c r="P37" s="15" t="s">
        <v>119</v>
      </c>
    </row>
    <row r="38" spans="1:16" ht="29.15" customHeight="1" x14ac:dyDescent="0.35">
      <c r="A38" s="15">
        <v>34</v>
      </c>
      <c r="B38" s="25" t="s">
        <v>53</v>
      </c>
      <c r="C38" s="15" t="s">
        <v>202</v>
      </c>
      <c r="D38" s="15" t="s">
        <v>161</v>
      </c>
      <c r="E38" s="15" t="s">
        <v>144</v>
      </c>
      <c r="F38" s="17">
        <v>5</v>
      </c>
      <c r="G38" s="17">
        <v>5</v>
      </c>
      <c r="H38" s="17">
        <v>0</v>
      </c>
      <c r="I38" s="15">
        <v>29</v>
      </c>
      <c r="J38" s="15">
        <v>29</v>
      </c>
      <c r="K38" s="16">
        <v>46477</v>
      </c>
      <c r="L38" s="16">
        <v>46481</v>
      </c>
      <c r="M38" s="15">
        <v>1</v>
      </c>
      <c r="N38" s="15" t="s">
        <v>200</v>
      </c>
      <c r="O38" s="15" t="s">
        <v>201</v>
      </c>
      <c r="P38" s="15" t="s">
        <v>119</v>
      </c>
    </row>
    <row r="39" spans="1:16" ht="29.15" customHeight="1" x14ac:dyDescent="0.35">
      <c r="A39" s="15">
        <v>35</v>
      </c>
      <c r="B39" s="25" t="s">
        <v>53</v>
      </c>
      <c r="C39" s="15" t="s">
        <v>203</v>
      </c>
      <c r="D39" s="15" t="s">
        <v>163</v>
      </c>
      <c r="E39" s="15" t="s">
        <v>144</v>
      </c>
      <c r="F39" s="17">
        <v>5</v>
      </c>
      <c r="G39" s="17">
        <v>5</v>
      </c>
      <c r="H39" s="17">
        <v>0</v>
      </c>
      <c r="I39" s="15">
        <v>30</v>
      </c>
      <c r="J39" s="15">
        <v>30</v>
      </c>
      <c r="K39" s="16">
        <v>46484</v>
      </c>
      <c r="L39" s="16">
        <v>46488</v>
      </c>
      <c r="M39" s="15">
        <v>1</v>
      </c>
      <c r="N39" s="15" t="s">
        <v>200</v>
      </c>
      <c r="O39" s="15" t="s">
        <v>201</v>
      </c>
      <c r="P39" s="15" t="s">
        <v>119</v>
      </c>
    </row>
    <row r="40" spans="1:16" ht="29.15" customHeight="1" x14ac:dyDescent="0.35">
      <c r="A40" s="15">
        <v>36</v>
      </c>
      <c r="B40" s="25" t="s">
        <v>53</v>
      </c>
      <c r="C40" s="15" t="s">
        <v>204</v>
      </c>
      <c r="D40" s="15" t="s">
        <v>165</v>
      </c>
      <c r="E40" s="15" t="s">
        <v>144</v>
      </c>
      <c r="F40" s="17">
        <v>2</v>
      </c>
      <c r="G40" s="17">
        <v>2</v>
      </c>
      <c r="H40" s="17">
        <v>0</v>
      </c>
      <c r="I40" s="15">
        <v>27</v>
      </c>
      <c r="J40" s="15">
        <v>27</v>
      </c>
      <c r="K40" s="16">
        <v>46463</v>
      </c>
      <c r="L40" s="16">
        <v>46467</v>
      </c>
      <c r="M40" s="15">
        <v>1</v>
      </c>
      <c r="N40" s="15" t="s">
        <v>200</v>
      </c>
      <c r="O40" s="15" t="s">
        <v>201</v>
      </c>
      <c r="P40" s="15" t="s">
        <v>119</v>
      </c>
    </row>
    <row r="41" spans="1:16" ht="29.15" customHeight="1" x14ac:dyDescent="0.35">
      <c r="A41" s="15">
        <v>37</v>
      </c>
      <c r="B41" s="25" t="s">
        <v>53</v>
      </c>
      <c r="C41" s="15" t="s">
        <v>205</v>
      </c>
      <c r="D41" s="15" t="s">
        <v>167</v>
      </c>
      <c r="E41" s="15" t="s">
        <v>144</v>
      </c>
      <c r="F41" s="17">
        <v>2</v>
      </c>
      <c r="G41" s="17">
        <v>2</v>
      </c>
      <c r="H41" s="17">
        <v>0</v>
      </c>
      <c r="I41" s="15">
        <v>27</v>
      </c>
      <c r="J41" s="15">
        <v>28</v>
      </c>
      <c r="K41" s="16">
        <v>46463</v>
      </c>
      <c r="L41" s="16">
        <v>46474</v>
      </c>
      <c r="M41" s="15">
        <v>2</v>
      </c>
      <c r="N41" s="15" t="s">
        <v>200</v>
      </c>
      <c r="O41" s="15" t="s">
        <v>201</v>
      </c>
      <c r="P41" s="15" t="s">
        <v>119</v>
      </c>
    </row>
    <row r="42" spans="1:16" ht="29.15" customHeight="1" x14ac:dyDescent="0.35">
      <c r="A42" s="15">
        <v>38</v>
      </c>
      <c r="B42" s="25" t="s">
        <v>53</v>
      </c>
      <c r="C42" s="15" t="s">
        <v>206</v>
      </c>
      <c r="D42" s="15" t="s">
        <v>169</v>
      </c>
      <c r="E42" s="15" t="s">
        <v>144</v>
      </c>
      <c r="F42" s="17">
        <v>2</v>
      </c>
      <c r="G42" s="17">
        <v>2</v>
      </c>
      <c r="H42" s="17">
        <v>0</v>
      </c>
      <c r="I42" s="15">
        <v>28</v>
      </c>
      <c r="J42" s="15">
        <v>28</v>
      </c>
      <c r="K42" s="16">
        <v>46470</v>
      </c>
      <c r="L42" s="16">
        <v>46474</v>
      </c>
      <c r="M42" s="15">
        <v>1</v>
      </c>
      <c r="N42" s="15" t="s">
        <v>200</v>
      </c>
      <c r="O42" s="15" t="s">
        <v>201</v>
      </c>
      <c r="P42" s="15" t="s">
        <v>119</v>
      </c>
    </row>
    <row r="43" spans="1:16" ht="29.15" customHeight="1" x14ac:dyDescent="0.35">
      <c r="A43" s="15">
        <v>39</v>
      </c>
      <c r="B43" s="25" t="s">
        <v>53</v>
      </c>
      <c r="C43" s="15" t="s">
        <v>207</v>
      </c>
      <c r="D43" s="15" t="s">
        <v>171</v>
      </c>
      <c r="E43" s="15" t="s">
        <v>144</v>
      </c>
      <c r="F43" s="17">
        <v>2</v>
      </c>
      <c r="G43" s="17">
        <v>2</v>
      </c>
      <c r="H43" s="17">
        <v>0</v>
      </c>
      <c r="I43" s="15">
        <v>28</v>
      </c>
      <c r="J43" s="15">
        <v>28</v>
      </c>
      <c r="K43" s="16">
        <v>46470</v>
      </c>
      <c r="L43" s="16">
        <v>46474</v>
      </c>
      <c r="M43" s="15">
        <v>1</v>
      </c>
      <c r="N43" s="15" t="s">
        <v>200</v>
      </c>
      <c r="O43" s="15" t="s">
        <v>201</v>
      </c>
      <c r="P43" s="15" t="s">
        <v>119</v>
      </c>
    </row>
    <row r="44" spans="1:16" ht="29.15" customHeight="1" x14ac:dyDescent="0.35">
      <c r="A44" s="15">
        <v>40</v>
      </c>
      <c r="B44" s="25" t="s">
        <v>53</v>
      </c>
      <c r="C44" s="15" t="s">
        <v>208</v>
      </c>
      <c r="D44" s="15" t="s">
        <v>173</v>
      </c>
      <c r="E44" s="15" t="s">
        <v>144</v>
      </c>
      <c r="F44" s="17">
        <v>2</v>
      </c>
      <c r="G44" s="17">
        <v>2</v>
      </c>
      <c r="H44" s="17">
        <v>0</v>
      </c>
      <c r="I44" s="15">
        <v>31</v>
      </c>
      <c r="J44" s="15">
        <v>31</v>
      </c>
      <c r="K44" s="16">
        <v>46491</v>
      </c>
      <c r="L44" s="16">
        <v>46495</v>
      </c>
      <c r="M44" s="15">
        <v>1</v>
      </c>
      <c r="N44" s="15" t="s">
        <v>200</v>
      </c>
      <c r="O44" s="15" t="s">
        <v>201</v>
      </c>
      <c r="P44" s="15" t="s">
        <v>119</v>
      </c>
    </row>
    <row r="45" spans="1:16" ht="29.15" customHeight="1" x14ac:dyDescent="0.35">
      <c r="A45" s="15">
        <v>41</v>
      </c>
      <c r="B45" s="26" t="s">
        <v>54</v>
      </c>
      <c r="C45" s="15" t="s">
        <v>209</v>
      </c>
      <c r="D45" s="15" t="s">
        <v>158</v>
      </c>
      <c r="E45" s="15" t="s">
        <v>144</v>
      </c>
      <c r="F45" s="17">
        <v>2</v>
      </c>
      <c r="G45" s="17">
        <v>2</v>
      </c>
      <c r="H45" s="17">
        <v>0</v>
      </c>
      <c r="I45" s="15">
        <v>34</v>
      </c>
      <c r="J45" s="15">
        <v>34</v>
      </c>
      <c r="K45" s="16">
        <v>46512</v>
      </c>
      <c r="L45" s="16">
        <v>46516</v>
      </c>
      <c r="M45" s="15">
        <v>1</v>
      </c>
      <c r="N45" s="15" t="s">
        <v>210</v>
      </c>
      <c r="O45" s="15" t="s">
        <v>211</v>
      </c>
      <c r="P45" s="15" t="s">
        <v>119</v>
      </c>
    </row>
    <row r="46" spans="1:16" ht="29.15" customHeight="1" x14ac:dyDescent="0.35">
      <c r="A46" s="15">
        <v>42</v>
      </c>
      <c r="B46" s="26" t="s">
        <v>54</v>
      </c>
      <c r="C46" s="15" t="s">
        <v>212</v>
      </c>
      <c r="D46" s="15" t="s">
        <v>161</v>
      </c>
      <c r="E46" s="15" t="s">
        <v>144</v>
      </c>
      <c r="F46" s="17">
        <v>5</v>
      </c>
      <c r="G46" s="17">
        <v>5</v>
      </c>
      <c r="H46" s="17">
        <v>0</v>
      </c>
      <c r="I46" s="15">
        <v>36</v>
      </c>
      <c r="J46" s="15">
        <v>37</v>
      </c>
      <c r="K46" s="16">
        <v>46526</v>
      </c>
      <c r="L46" s="16">
        <v>46537</v>
      </c>
      <c r="M46" s="15">
        <v>2</v>
      </c>
      <c r="N46" s="15" t="s">
        <v>210</v>
      </c>
      <c r="O46" s="15" t="s">
        <v>211</v>
      </c>
      <c r="P46" s="15" t="s">
        <v>119</v>
      </c>
    </row>
    <row r="47" spans="1:16" ht="29.15" customHeight="1" x14ac:dyDescent="0.35">
      <c r="A47" s="15">
        <v>43</v>
      </c>
      <c r="B47" s="24" t="s">
        <v>52</v>
      </c>
      <c r="C47" s="15" t="s">
        <v>213</v>
      </c>
      <c r="D47" s="15" t="s">
        <v>143</v>
      </c>
      <c r="E47" s="15" t="s">
        <v>144</v>
      </c>
      <c r="F47" s="17">
        <v>4</v>
      </c>
      <c r="G47" s="17">
        <v>4</v>
      </c>
      <c r="H47" s="17">
        <v>0</v>
      </c>
      <c r="I47" s="15">
        <v>36</v>
      </c>
      <c r="J47" s="15">
        <v>37</v>
      </c>
      <c r="K47" s="16">
        <v>46526</v>
      </c>
      <c r="L47" s="16">
        <v>46537</v>
      </c>
      <c r="M47" s="15">
        <v>2</v>
      </c>
      <c r="N47" s="15" t="s">
        <v>189</v>
      </c>
      <c r="O47" s="15" t="s">
        <v>190</v>
      </c>
      <c r="P47" s="15" t="s">
        <v>119</v>
      </c>
    </row>
    <row r="48" spans="1:16" ht="29.15" customHeight="1" x14ac:dyDescent="0.35">
      <c r="A48" s="15">
        <v>44</v>
      </c>
      <c r="B48" s="26" t="s">
        <v>54</v>
      </c>
      <c r="C48" s="15" t="s">
        <v>214</v>
      </c>
      <c r="D48" s="15" t="s">
        <v>163</v>
      </c>
      <c r="E48" s="15" t="s">
        <v>144</v>
      </c>
      <c r="F48" s="17">
        <v>5</v>
      </c>
      <c r="G48" s="17">
        <v>5</v>
      </c>
      <c r="H48" s="17">
        <v>0</v>
      </c>
      <c r="I48" s="15">
        <v>36</v>
      </c>
      <c r="J48" s="15">
        <v>37</v>
      </c>
      <c r="K48" s="16">
        <v>46526</v>
      </c>
      <c r="L48" s="16">
        <v>46537</v>
      </c>
      <c r="M48" s="15">
        <v>2</v>
      </c>
      <c r="N48" s="15" t="s">
        <v>210</v>
      </c>
      <c r="O48" s="15" t="s">
        <v>211</v>
      </c>
      <c r="P48" s="15" t="s">
        <v>119</v>
      </c>
    </row>
    <row r="49" spans="1:16" ht="29.15" customHeight="1" x14ac:dyDescent="0.35">
      <c r="A49" s="15">
        <v>45</v>
      </c>
      <c r="B49" s="24" t="s">
        <v>52</v>
      </c>
      <c r="C49" s="15" t="s">
        <v>191</v>
      </c>
      <c r="D49" s="15" t="s">
        <v>143</v>
      </c>
      <c r="E49" s="15" t="s">
        <v>144</v>
      </c>
      <c r="F49" s="17">
        <v>4</v>
      </c>
      <c r="G49" s="17">
        <v>4</v>
      </c>
      <c r="H49" s="17">
        <v>0</v>
      </c>
      <c r="I49" s="15">
        <v>36</v>
      </c>
      <c r="J49" s="15">
        <v>37</v>
      </c>
      <c r="K49" s="16">
        <v>46526</v>
      </c>
      <c r="L49" s="16">
        <v>46537</v>
      </c>
      <c r="M49" s="15">
        <v>2</v>
      </c>
      <c r="N49" s="15" t="s">
        <v>189</v>
      </c>
      <c r="O49" s="15" t="s">
        <v>190</v>
      </c>
      <c r="P49" s="15" t="s">
        <v>119</v>
      </c>
    </row>
    <row r="50" spans="1:16" ht="29.15" customHeight="1" x14ac:dyDescent="0.35">
      <c r="A50" s="15">
        <v>46</v>
      </c>
      <c r="B50" s="26" t="s">
        <v>54</v>
      </c>
      <c r="C50" s="15" t="s">
        <v>215</v>
      </c>
      <c r="D50" s="15" t="s">
        <v>165</v>
      </c>
      <c r="E50" s="15" t="s">
        <v>144</v>
      </c>
      <c r="F50" s="17">
        <v>2</v>
      </c>
      <c r="G50" s="17">
        <v>2</v>
      </c>
      <c r="H50" s="17">
        <v>0</v>
      </c>
      <c r="I50" s="15">
        <v>34</v>
      </c>
      <c r="J50" s="15">
        <v>34</v>
      </c>
      <c r="K50" s="16">
        <v>46512</v>
      </c>
      <c r="L50" s="16">
        <v>46516</v>
      </c>
      <c r="M50" s="15">
        <v>1</v>
      </c>
      <c r="N50" s="15" t="s">
        <v>210</v>
      </c>
      <c r="O50" s="15" t="s">
        <v>211</v>
      </c>
      <c r="P50" s="15" t="s">
        <v>119</v>
      </c>
    </row>
    <row r="51" spans="1:16" ht="29.15" customHeight="1" x14ac:dyDescent="0.35">
      <c r="A51" s="15">
        <v>47</v>
      </c>
      <c r="B51" s="26" t="s">
        <v>54</v>
      </c>
      <c r="C51" s="15" t="s">
        <v>216</v>
      </c>
      <c r="D51" s="15" t="s">
        <v>167</v>
      </c>
      <c r="E51" s="15" t="s">
        <v>144</v>
      </c>
      <c r="F51" s="17">
        <v>2</v>
      </c>
      <c r="G51" s="17">
        <v>2</v>
      </c>
      <c r="H51" s="17">
        <v>0</v>
      </c>
      <c r="I51" s="15">
        <v>34</v>
      </c>
      <c r="J51" s="15">
        <v>35</v>
      </c>
      <c r="K51" s="16">
        <v>46512</v>
      </c>
      <c r="L51" s="16">
        <v>46523</v>
      </c>
      <c r="M51" s="15">
        <v>2</v>
      </c>
      <c r="N51" s="15" t="s">
        <v>210</v>
      </c>
      <c r="O51" s="15" t="s">
        <v>211</v>
      </c>
      <c r="P51" s="15" t="s">
        <v>119</v>
      </c>
    </row>
    <row r="52" spans="1:16" ht="29.15" customHeight="1" x14ac:dyDescent="0.35">
      <c r="A52" s="15">
        <v>48</v>
      </c>
      <c r="B52" s="26" t="s">
        <v>54</v>
      </c>
      <c r="C52" s="15" t="s">
        <v>217</v>
      </c>
      <c r="D52" s="15" t="s">
        <v>169</v>
      </c>
      <c r="E52" s="15" t="s">
        <v>144</v>
      </c>
      <c r="F52" s="17">
        <v>2</v>
      </c>
      <c r="G52" s="17">
        <v>2</v>
      </c>
      <c r="H52" s="17">
        <v>0</v>
      </c>
      <c r="I52" s="15">
        <v>35</v>
      </c>
      <c r="J52" s="15">
        <v>35</v>
      </c>
      <c r="K52" s="16">
        <v>46519</v>
      </c>
      <c r="L52" s="16">
        <v>46523</v>
      </c>
      <c r="M52" s="15">
        <v>1</v>
      </c>
      <c r="N52" s="15" t="s">
        <v>210</v>
      </c>
      <c r="O52" s="15" t="s">
        <v>211</v>
      </c>
      <c r="P52" s="15" t="s">
        <v>119</v>
      </c>
    </row>
    <row r="53" spans="1:16" ht="29.15" customHeight="1" x14ac:dyDescent="0.35">
      <c r="A53" s="15">
        <v>49</v>
      </c>
      <c r="B53" s="26" t="s">
        <v>54</v>
      </c>
      <c r="C53" s="15" t="s">
        <v>218</v>
      </c>
      <c r="D53" s="15" t="s">
        <v>171</v>
      </c>
      <c r="E53" s="15" t="s">
        <v>144</v>
      </c>
      <c r="F53" s="17">
        <v>2</v>
      </c>
      <c r="G53" s="17">
        <v>2</v>
      </c>
      <c r="H53" s="17">
        <v>0</v>
      </c>
      <c r="I53" s="15">
        <v>35</v>
      </c>
      <c r="J53" s="15">
        <v>35</v>
      </c>
      <c r="K53" s="16">
        <v>46519</v>
      </c>
      <c r="L53" s="16">
        <v>46523</v>
      </c>
      <c r="M53" s="15">
        <v>1</v>
      </c>
      <c r="N53" s="15" t="s">
        <v>210</v>
      </c>
      <c r="O53" s="15" t="s">
        <v>211</v>
      </c>
      <c r="P53" s="15" t="s">
        <v>119</v>
      </c>
    </row>
    <row r="54" spans="1:16" ht="29.15" customHeight="1" x14ac:dyDescent="0.35">
      <c r="A54" s="15">
        <v>50</v>
      </c>
      <c r="B54" s="26" t="s">
        <v>54</v>
      </c>
      <c r="C54" s="15" t="s">
        <v>219</v>
      </c>
      <c r="D54" s="15" t="s">
        <v>173</v>
      </c>
      <c r="E54" s="15" t="s">
        <v>175</v>
      </c>
      <c r="F54" s="17">
        <v>2</v>
      </c>
      <c r="G54" s="17">
        <v>2</v>
      </c>
      <c r="H54" s="17">
        <v>0</v>
      </c>
      <c r="I54" s="15">
        <v>37</v>
      </c>
      <c r="J54" s="15">
        <v>37</v>
      </c>
      <c r="K54" s="16">
        <v>46533</v>
      </c>
      <c r="L54" s="16">
        <v>46537</v>
      </c>
      <c r="M54" s="15">
        <v>1</v>
      </c>
      <c r="N54" s="15" t="s">
        <v>210</v>
      </c>
      <c r="O54" s="15" t="s">
        <v>211</v>
      </c>
      <c r="P54" s="15" t="s">
        <v>119</v>
      </c>
    </row>
    <row r="55" spans="1:16" x14ac:dyDescent="0.35">
      <c r="A55" s="15">
        <v>51</v>
      </c>
      <c r="B55" s="27" t="s">
        <v>55</v>
      </c>
      <c r="C55" s="15" t="s">
        <v>55</v>
      </c>
      <c r="D55" s="15" t="s">
        <v>143</v>
      </c>
      <c r="E55" s="15" t="s">
        <v>144</v>
      </c>
      <c r="F55" s="17">
        <v>4</v>
      </c>
      <c r="G55" s="17">
        <v>4</v>
      </c>
      <c r="H55" s="17">
        <v>0</v>
      </c>
      <c r="I55" s="15">
        <v>38</v>
      </c>
      <c r="J55" s="15">
        <v>38</v>
      </c>
      <c r="K55" s="16">
        <v>46540</v>
      </c>
      <c r="L55" s="16">
        <v>46544</v>
      </c>
      <c r="M55" s="15">
        <v>1</v>
      </c>
      <c r="N55" s="15" t="s">
        <v>54</v>
      </c>
      <c r="O55" s="15" t="s">
        <v>220</v>
      </c>
      <c r="P55" s="15" t="s">
        <v>119</v>
      </c>
    </row>
    <row r="56" spans="1:16" ht="29.15" customHeight="1" x14ac:dyDescent="0.35">
      <c r="A56" s="15">
        <v>52</v>
      </c>
      <c r="B56" s="28" t="s">
        <v>56</v>
      </c>
      <c r="C56" s="15" t="s">
        <v>221</v>
      </c>
      <c r="D56" s="15" t="s">
        <v>158</v>
      </c>
      <c r="E56" s="15" t="s">
        <v>81</v>
      </c>
      <c r="F56" s="17">
        <v>2</v>
      </c>
      <c r="G56" s="17">
        <v>2</v>
      </c>
      <c r="H56" s="17">
        <v>0</v>
      </c>
      <c r="I56" s="15">
        <v>39</v>
      </c>
      <c r="J56" s="15">
        <v>39</v>
      </c>
      <c r="K56" s="16">
        <v>46547</v>
      </c>
      <c r="L56" s="16">
        <v>46551</v>
      </c>
      <c r="M56" s="15">
        <v>1</v>
      </c>
      <c r="N56" s="15" t="s">
        <v>222</v>
      </c>
      <c r="O56" s="15" t="s">
        <v>223</v>
      </c>
      <c r="P56" s="15" t="s">
        <v>119</v>
      </c>
    </row>
    <row r="57" spans="1:16" ht="29.15" customHeight="1" x14ac:dyDescent="0.35">
      <c r="A57" s="15">
        <v>53</v>
      </c>
      <c r="B57" s="28" t="s">
        <v>56</v>
      </c>
      <c r="C57" s="15" t="s">
        <v>224</v>
      </c>
      <c r="D57" s="15" t="s">
        <v>161</v>
      </c>
      <c r="E57" s="15" t="s">
        <v>175</v>
      </c>
      <c r="F57" s="17">
        <v>5</v>
      </c>
      <c r="G57" s="17">
        <v>5</v>
      </c>
      <c r="H57" s="17">
        <v>0</v>
      </c>
      <c r="I57" s="15">
        <v>39</v>
      </c>
      <c r="J57" s="15">
        <v>40</v>
      </c>
      <c r="K57" s="16">
        <v>46547</v>
      </c>
      <c r="L57" s="16">
        <v>46558</v>
      </c>
      <c r="M57" s="15">
        <v>2</v>
      </c>
      <c r="N57" s="15" t="s">
        <v>222</v>
      </c>
      <c r="O57" s="15" t="s">
        <v>223</v>
      </c>
      <c r="P57" s="15" t="s">
        <v>119</v>
      </c>
    </row>
    <row r="58" spans="1:16" ht="29.15" customHeight="1" x14ac:dyDescent="0.35">
      <c r="A58" s="15">
        <v>54</v>
      </c>
      <c r="B58" s="24" t="s">
        <v>52</v>
      </c>
      <c r="C58" s="15" t="s">
        <v>225</v>
      </c>
      <c r="D58" s="15" t="s">
        <v>143</v>
      </c>
      <c r="E58" s="15" t="s">
        <v>175</v>
      </c>
      <c r="F58" s="17">
        <v>4</v>
      </c>
      <c r="G58" s="17">
        <v>4</v>
      </c>
      <c r="H58" s="17">
        <v>0</v>
      </c>
      <c r="I58" s="15">
        <v>39</v>
      </c>
      <c r="J58" s="15">
        <v>40</v>
      </c>
      <c r="K58" s="16">
        <v>46547</v>
      </c>
      <c r="L58" s="16">
        <v>46558</v>
      </c>
      <c r="M58" s="15">
        <v>2</v>
      </c>
      <c r="N58" s="15" t="s">
        <v>189</v>
      </c>
      <c r="O58" s="15" t="s">
        <v>190</v>
      </c>
      <c r="P58" s="15" t="s">
        <v>119</v>
      </c>
    </row>
    <row r="59" spans="1:16" ht="29.15" customHeight="1" x14ac:dyDescent="0.35">
      <c r="A59" s="15">
        <v>55</v>
      </c>
      <c r="B59" s="28" t="s">
        <v>56</v>
      </c>
      <c r="C59" s="15" t="s">
        <v>226</v>
      </c>
      <c r="D59" s="15" t="s">
        <v>163</v>
      </c>
      <c r="E59" s="15" t="s">
        <v>144</v>
      </c>
      <c r="F59" s="17">
        <v>5</v>
      </c>
      <c r="G59" s="17">
        <v>5</v>
      </c>
      <c r="H59" s="17">
        <v>0</v>
      </c>
      <c r="I59" s="15">
        <v>39</v>
      </c>
      <c r="J59" s="15">
        <v>40</v>
      </c>
      <c r="K59" s="16">
        <v>46547</v>
      </c>
      <c r="L59" s="16">
        <v>46558</v>
      </c>
      <c r="M59" s="15">
        <v>2</v>
      </c>
      <c r="N59" s="15" t="s">
        <v>222</v>
      </c>
      <c r="O59" s="15" t="s">
        <v>223</v>
      </c>
      <c r="P59" s="15" t="s">
        <v>119</v>
      </c>
    </row>
    <row r="60" spans="1:16" ht="29.15" customHeight="1" x14ac:dyDescent="0.35">
      <c r="A60" s="15">
        <v>56</v>
      </c>
      <c r="B60" s="24" t="s">
        <v>52</v>
      </c>
      <c r="C60" s="15" t="s">
        <v>225</v>
      </c>
      <c r="D60" s="15" t="s">
        <v>143</v>
      </c>
      <c r="E60" s="15" t="s">
        <v>144</v>
      </c>
      <c r="F60" s="17">
        <v>4</v>
      </c>
      <c r="G60" s="17">
        <v>4</v>
      </c>
      <c r="H60" s="17">
        <v>0</v>
      </c>
      <c r="I60" s="15">
        <v>39</v>
      </c>
      <c r="J60" s="15">
        <v>40</v>
      </c>
      <c r="K60" s="16">
        <v>46547</v>
      </c>
      <c r="L60" s="16">
        <v>46558</v>
      </c>
      <c r="M60" s="15">
        <v>2</v>
      </c>
      <c r="N60" s="15" t="s">
        <v>189</v>
      </c>
      <c r="O60" s="15" t="s">
        <v>190</v>
      </c>
      <c r="P60" s="15" t="s">
        <v>119</v>
      </c>
    </row>
    <row r="61" spans="1:16" ht="29.15" customHeight="1" x14ac:dyDescent="0.35">
      <c r="A61" s="15">
        <v>57</v>
      </c>
      <c r="B61" s="28" t="s">
        <v>56</v>
      </c>
      <c r="C61" s="15" t="s">
        <v>227</v>
      </c>
      <c r="D61" s="15" t="s">
        <v>165</v>
      </c>
      <c r="E61" s="15" t="s">
        <v>81</v>
      </c>
      <c r="F61" s="17">
        <v>2</v>
      </c>
      <c r="G61" s="17">
        <v>2</v>
      </c>
      <c r="H61" s="17">
        <v>0</v>
      </c>
      <c r="I61" s="15">
        <v>39</v>
      </c>
      <c r="J61" s="15">
        <v>39</v>
      </c>
      <c r="K61" s="16">
        <v>46547</v>
      </c>
      <c r="L61" s="16">
        <v>46551</v>
      </c>
      <c r="M61" s="15">
        <v>1</v>
      </c>
      <c r="N61" s="15" t="s">
        <v>222</v>
      </c>
      <c r="O61" s="15" t="s">
        <v>223</v>
      </c>
      <c r="P61" s="15" t="s">
        <v>119</v>
      </c>
    </row>
    <row r="62" spans="1:16" ht="29.15" customHeight="1" x14ac:dyDescent="0.35">
      <c r="A62" s="15">
        <v>58</v>
      </c>
      <c r="B62" s="28" t="s">
        <v>56</v>
      </c>
      <c r="C62" s="15" t="s">
        <v>228</v>
      </c>
      <c r="D62" s="15" t="s">
        <v>167</v>
      </c>
      <c r="E62" s="15" t="s">
        <v>81</v>
      </c>
      <c r="F62" s="17">
        <v>2</v>
      </c>
      <c r="G62" s="17">
        <v>2</v>
      </c>
      <c r="H62" s="17">
        <v>0</v>
      </c>
      <c r="I62" s="15">
        <v>40</v>
      </c>
      <c r="J62" s="15">
        <v>40</v>
      </c>
      <c r="K62" s="16">
        <v>46554</v>
      </c>
      <c r="L62" s="16">
        <v>46558</v>
      </c>
      <c r="M62" s="15">
        <v>1</v>
      </c>
      <c r="N62" s="15" t="s">
        <v>222</v>
      </c>
      <c r="O62" s="15" t="s">
        <v>223</v>
      </c>
      <c r="P62" s="15" t="s">
        <v>119</v>
      </c>
    </row>
    <row r="63" spans="1:16" ht="29.15" customHeight="1" x14ac:dyDescent="0.35">
      <c r="A63" s="15">
        <v>59</v>
      </c>
      <c r="B63" s="28" t="s">
        <v>56</v>
      </c>
      <c r="C63" s="15" t="s">
        <v>229</v>
      </c>
      <c r="D63" s="15" t="s">
        <v>169</v>
      </c>
      <c r="E63" s="15" t="s">
        <v>81</v>
      </c>
      <c r="F63" s="17">
        <v>2</v>
      </c>
      <c r="G63" s="17">
        <v>2</v>
      </c>
      <c r="H63" s="17">
        <v>0</v>
      </c>
      <c r="I63" s="15">
        <v>40</v>
      </c>
      <c r="J63" s="15">
        <v>40</v>
      </c>
      <c r="K63" s="16">
        <v>46554</v>
      </c>
      <c r="L63" s="16">
        <v>46558</v>
      </c>
      <c r="M63" s="15">
        <v>1</v>
      </c>
      <c r="N63" s="15" t="s">
        <v>222</v>
      </c>
      <c r="O63" s="15" t="s">
        <v>223</v>
      </c>
      <c r="P63" s="15" t="s">
        <v>119</v>
      </c>
    </row>
    <row r="64" spans="1:16" ht="29.15" customHeight="1" x14ac:dyDescent="0.35">
      <c r="A64" s="15">
        <v>60</v>
      </c>
      <c r="B64" s="28" t="s">
        <v>56</v>
      </c>
      <c r="C64" s="15" t="s">
        <v>230</v>
      </c>
      <c r="D64" s="15" t="s">
        <v>171</v>
      </c>
      <c r="E64" s="15" t="s">
        <v>81</v>
      </c>
      <c r="F64" s="17">
        <v>2</v>
      </c>
      <c r="G64" s="17">
        <v>2</v>
      </c>
      <c r="H64" s="17">
        <v>0</v>
      </c>
      <c r="I64" s="15">
        <v>39</v>
      </c>
      <c r="J64" s="15">
        <v>40</v>
      </c>
      <c r="K64" s="16">
        <v>46547</v>
      </c>
      <c r="L64" s="16">
        <v>46558</v>
      </c>
      <c r="M64" s="15">
        <v>2</v>
      </c>
      <c r="N64" s="15" t="s">
        <v>222</v>
      </c>
      <c r="O64" s="15" t="s">
        <v>223</v>
      </c>
      <c r="P64" s="15" t="s">
        <v>119</v>
      </c>
    </row>
    <row r="65" spans="1:16" ht="29.15" customHeight="1" x14ac:dyDescent="0.35">
      <c r="A65" s="15">
        <v>61</v>
      </c>
      <c r="B65" s="28" t="s">
        <v>56</v>
      </c>
      <c r="C65" s="15" t="s">
        <v>231</v>
      </c>
      <c r="D65" s="15" t="s">
        <v>173</v>
      </c>
      <c r="E65" s="15" t="s">
        <v>81</v>
      </c>
      <c r="F65" s="17">
        <v>2</v>
      </c>
      <c r="G65" s="17">
        <v>2</v>
      </c>
      <c r="H65" s="17">
        <v>0</v>
      </c>
      <c r="I65" s="15">
        <v>40</v>
      </c>
      <c r="J65" s="15">
        <v>40</v>
      </c>
      <c r="K65" s="16">
        <v>46554</v>
      </c>
      <c r="L65" s="16">
        <v>46558</v>
      </c>
      <c r="M65" s="15">
        <v>1</v>
      </c>
      <c r="N65" s="15" t="s">
        <v>222</v>
      </c>
      <c r="O65" s="15" t="s">
        <v>223</v>
      </c>
      <c r="P65" s="15" t="s">
        <v>119</v>
      </c>
    </row>
    <row r="66" spans="1:16" ht="29.15" customHeight="1" x14ac:dyDescent="0.35">
      <c r="A66" s="15">
        <v>62</v>
      </c>
      <c r="B66" s="29" t="s">
        <v>57</v>
      </c>
      <c r="C66" s="15" t="s">
        <v>232</v>
      </c>
      <c r="D66" s="15" t="s">
        <v>143</v>
      </c>
      <c r="E66" s="15" t="s">
        <v>233</v>
      </c>
      <c r="F66" s="17">
        <v>125</v>
      </c>
      <c r="G66" s="17">
        <v>125</v>
      </c>
      <c r="H66" s="17">
        <v>0</v>
      </c>
      <c r="I66" s="15">
        <v>16</v>
      </c>
      <c r="J66" s="15">
        <v>40</v>
      </c>
      <c r="K66" s="16">
        <v>46386</v>
      </c>
      <c r="L66" s="16">
        <v>46558</v>
      </c>
      <c r="M66" s="15">
        <v>25</v>
      </c>
      <c r="N66" s="15" t="s">
        <v>234</v>
      </c>
      <c r="O66" s="15" t="s">
        <v>235</v>
      </c>
      <c r="P66" s="15" t="s">
        <v>119</v>
      </c>
    </row>
    <row r="67" spans="1:16" ht="29.15" customHeight="1" x14ac:dyDescent="0.35">
      <c r="A67" s="15">
        <v>63</v>
      </c>
      <c r="B67" s="29" t="s">
        <v>57</v>
      </c>
      <c r="C67" s="15" t="s">
        <v>236</v>
      </c>
      <c r="D67" s="15" t="s">
        <v>143</v>
      </c>
      <c r="E67" s="15" t="s">
        <v>233</v>
      </c>
      <c r="F67" s="17">
        <v>125</v>
      </c>
      <c r="G67" s="17">
        <v>125</v>
      </c>
      <c r="H67" s="17">
        <v>0</v>
      </c>
      <c r="I67" s="15">
        <v>16</v>
      </c>
      <c r="J67" s="15">
        <v>40</v>
      </c>
      <c r="K67" s="16">
        <v>46386</v>
      </c>
      <c r="L67" s="16">
        <v>46558</v>
      </c>
      <c r="M67" s="15">
        <v>25</v>
      </c>
      <c r="N67" s="15" t="s">
        <v>234</v>
      </c>
      <c r="O67" s="15" t="s">
        <v>235</v>
      </c>
      <c r="P67" s="15" t="s">
        <v>119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showGridLines="0" workbookViewId="0">
      <selection sqref="A1:L1"/>
    </sheetView>
  </sheetViews>
  <sheetFormatPr defaultColWidth="8.7265625" defaultRowHeight="14.5" x14ac:dyDescent="0.35"/>
  <cols>
    <col min="1" max="1" width="8" style="53" customWidth="1"/>
    <col min="2" max="3" width="14" style="53" customWidth="1"/>
    <col min="4" max="4" width="12" style="53" customWidth="1"/>
    <col min="5" max="5" width="14" style="53" customWidth="1"/>
    <col min="6" max="9" width="12" style="53" customWidth="1"/>
    <col min="10" max="10" width="90" style="53" customWidth="1"/>
    <col min="11" max="12" width="8.7265625" style="53" customWidth="1"/>
    <col min="13" max="16384" width="8.7265625" style="53"/>
  </cols>
  <sheetData>
    <row r="1" spans="1:12" customFormat="1" ht="28" customHeight="1" x14ac:dyDescent="0.35">
      <c r="A1" s="123" t="s">
        <v>237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customFormat="1" ht="22" customHeight="1" x14ac:dyDescent="0.35">
      <c r="A2" s="120" t="s">
        <v>238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4" spans="1:12" x14ac:dyDescent="0.35">
      <c r="A4" s="81" t="s">
        <v>239</v>
      </c>
      <c r="B4" s="81" t="s">
        <v>240</v>
      </c>
      <c r="C4" s="81" t="s">
        <v>241</v>
      </c>
      <c r="D4" s="81" t="s">
        <v>110</v>
      </c>
      <c r="E4" s="81" t="s">
        <v>111</v>
      </c>
      <c r="F4" s="81" t="s">
        <v>112</v>
      </c>
      <c r="G4" s="81" t="s">
        <v>242</v>
      </c>
      <c r="H4" s="81" t="s">
        <v>113</v>
      </c>
      <c r="I4" s="81" t="s">
        <v>243</v>
      </c>
      <c r="J4" s="81" t="s">
        <v>244</v>
      </c>
    </row>
    <row r="5" spans="1:12" customFormat="1" ht="16.5" customHeight="1" x14ac:dyDescent="0.35">
      <c r="A5" s="74">
        <v>1</v>
      </c>
      <c r="B5" s="55">
        <v>46281</v>
      </c>
      <c r="C5" s="55">
        <v>46285</v>
      </c>
      <c r="D5" s="57">
        <v>5</v>
      </c>
      <c r="E5" s="57">
        <v>0</v>
      </c>
      <c r="F5" s="57">
        <v>0</v>
      </c>
      <c r="G5" s="57">
        <v>0</v>
      </c>
      <c r="H5" s="57">
        <f t="shared" ref="H5:H44" si="0">SUM(D5:G5)</f>
        <v>5</v>
      </c>
      <c r="I5" s="57">
        <f t="shared" ref="I5:I45" si="1">H5/5</f>
        <v>1</v>
      </c>
      <c r="J5" s="54" t="s">
        <v>44</v>
      </c>
    </row>
    <row r="6" spans="1:12" customFormat="1" ht="16.5" customHeight="1" x14ac:dyDescent="0.35">
      <c r="A6" s="74">
        <v>2</v>
      </c>
      <c r="B6" s="55">
        <v>46286</v>
      </c>
      <c r="C6" s="55">
        <v>46290</v>
      </c>
      <c r="D6" s="57">
        <v>5</v>
      </c>
      <c r="E6" s="57">
        <v>0</v>
      </c>
      <c r="F6" s="57">
        <v>0</v>
      </c>
      <c r="G6" s="57">
        <v>0</v>
      </c>
      <c r="H6" s="57">
        <f t="shared" si="0"/>
        <v>5</v>
      </c>
      <c r="I6" s="57">
        <f t="shared" si="1"/>
        <v>1</v>
      </c>
      <c r="J6" s="54" t="s">
        <v>245</v>
      </c>
    </row>
    <row r="7" spans="1:12" customFormat="1" ht="16.5" customHeight="1" x14ac:dyDescent="0.35">
      <c r="A7" s="74">
        <v>3</v>
      </c>
      <c r="B7" s="55">
        <v>46293</v>
      </c>
      <c r="C7" s="55">
        <v>46297</v>
      </c>
      <c r="D7" s="57">
        <v>5</v>
      </c>
      <c r="E7" s="57">
        <v>0</v>
      </c>
      <c r="F7" s="57">
        <v>0</v>
      </c>
      <c r="G7" s="57">
        <v>0</v>
      </c>
      <c r="H7" s="57">
        <f t="shared" si="0"/>
        <v>5</v>
      </c>
      <c r="I7" s="57">
        <f t="shared" si="1"/>
        <v>1</v>
      </c>
      <c r="J7" s="54" t="s">
        <v>45</v>
      </c>
    </row>
    <row r="8" spans="1:12" customFormat="1" ht="16.5" customHeight="1" x14ac:dyDescent="0.35">
      <c r="A8" s="74">
        <v>4</v>
      </c>
      <c r="B8" s="55">
        <v>46300</v>
      </c>
      <c r="C8" s="55">
        <v>46304</v>
      </c>
      <c r="D8" s="57">
        <v>5</v>
      </c>
      <c r="E8" s="57">
        <v>0</v>
      </c>
      <c r="F8" s="57">
        <v>0</v>
      </c>
      <c r="G8" s="57">
        <v>0</v>
      </c>
      <c r="H8" s="57">
        <f t="shared" si="0"/>
        <v>5</v>
      </c>
      <c r="I8" s="57">
        <f t="shared" si="1"/>
        <v>1</v>
      </c>
      <c r="J8" s="54" t="s">
        <v>45</v>
      </c>
    </row>
    <row r="9" spans="1:12" customFormat="1" ht="16.5" customHeight="1" x14ac:dyDescent="0.35">
      <c r="A9" s="74">
        <v>5</v>
      </c>
      <c r="B9" s="55">
        <v>46307</v>
      </c>
      <c r="C9" s="55">
        <v>46311</v>
      </c>
      <c r="D9" s="57">
        <v>5</v>
      </c>
      <c r="E9" s="57">
        <v>0</v>
      </c>
      <c r="F9" s="57">
        <v>0</v>
      </c>
      <c r="G9" s="57">
        <v>0</v>
      </c>
      <c r="H9" s="57">
        <f t="shared" si="0"/>
        <v>5</v>
      </c>
      <c r="I9" s="57">
        <f t="shared" si="1"/>
        <v>1</v>
      </c>
      <c r="J9" s="54" t="s">
        <v>46</v>
      </c>
    </row>
    <row r="10" spans="1:12" customFormat="1" ht="16.5" customHeight="1" x14ac:dyDescent="0.35">
      <c r="A10" s="74">
        <v>6</v>
      </c>
      <c r="B10" s="55">
        <v>46314</v>
      </c>
      <c r="C10" s="55">
        <v>46318</v>
      </c>
      <c r="D10" s="57">
        <v>5</v>
      </c>
      <c r="E10" s="57">
        <v>0</v>
      </c>
      <c r="F10" s="57">
        <v>0</v>
      </c>
      <c r="G10" s="57">
        <v>0</v>
      </c>
      <c r="H10" s="57">
        <f t="shared" si="0"/>
        <v>5</v>
      </c>
      <c r="I10" s="57">
        <f t="shared" si="1"/>
        <v>1</v>
      </c>
      <c r="J10" s="54" t="s">
        <v>46</v>
      </c>
    </row>
    <row r="11" spans="1:12" customFormat="1" ht="29.15" customHeight="1" x14ac:dyDescent="0.35">
      <c r="A11" s="74">
        <v>7</v>
      </c>
      <c r="B11" s="55">
        <v>46321</v>
      </c>
      <c r="C11" s="55">
        <v>46325</v>
      </c>
      <c r="D11" s="57">
        <v>5</v>
      </c>
      <c r="E11" s="57">
        <v>0</v>
      </c>
      <c r="F11" s="57">
        <v>0</v>
      </c>
      <c r="G11" s="57">
        <v>0</v>
      </c>
      <c r="H11" s="57">
        <f t="shared" si="0"/>
        <v>5</v>
      </c>
      <c r="I11" s="57">
        <f t="shared" si="1"/>
        <v>1</v>
      </c>
      <c r="J11" s="54" t="s">
        <v>246</v>
      </c>
    </row>
    <row r="12" spans="1:12" customFormat="1" ht="16.5" customHeight="1" x14ac:dyDescent="0.35">
      <c r="A12" s="74">
        <v>8</v>
      </c>
      <c r="B12" s="55">
        <v>46328</v>
      </c>
      <c r="C12" s="55">
        <v>46332</v>
      </c>
      <c r="D12" s="57">
        <v>5</v>
      </c>
      <c r="E12" s="57">
        <v>0</v>
      </c>
      <c r="F12" s="57">
        <v>0</v>
      </c>
      <c r="G12" s="57">
        <v>0</v>
      </c>
      <c r="H12" s="57">
        <f t="shared" si="0"/>
        <v>5</v>
      </c>
      <c r="I12" s="57">
        <f t="shared" si="1"/>
        <v>1</v>
      </c>
      <c r="J12" s="54" t="s">
        <v>47</v>
      </c>
    </row>
    <row r="13" spans="1:12" customFormat="1" ht="16.5" customHeight="1" x14ac:dyDescent="0.35">
      <c r="A13" s="74">
        <v>9</v>
      </c>
      <c r="B13" s="55">
        <v>46335</v>
      </c>
      <c r="C13" s="55">
        <v>46339</v>
      </c>
      <c r="D13" s="57">
        <v>5</v>
      </c>
      <c r="E13" s="57">
        <v>0</v>
      </c>
      <c r="F13" s="57">
        <v>0</v>
      </c>
      <c r="G13" s="57">
        <v>0</v>
      </c>
      <c r="H13" s="57">
        <f t="shared" si="0"/>
        <v>5</v>
      </c>
      <c r="I13" s="57">
        <f t="shared" si="1"/>
        <v>1</v>
      </c>
      <c r="J13" s="54" t="s">
        <v>47</v>
      </c>
    </row>
    <row r="14" spans="1:12" customFormat="1" ht="16.5" customHeight="1" x14ac:dyDescent="0.35">
      <c r="A14" s="74">
        <v>10</v>
      </c>
      <c r="B14" s="55">
        <v>46342</v>
      </c>
      <c r="C14" s="55">
        <v>46346</v>
      </c>
      <c r="D14" s="57">
        <v>5</v>
      </c>
      <c r="E14" s="57">
        <v>0</v>
      </c>
      <c r="F14" s="57">
        <v>0</v>
      </c>
      <c r="G14" s="57">
        <v>0</v>
      </c>
      <c r="H14" s="57">
        <f t="shared" si="0"/>
        <v>5</v>
      </c>
      <c r="I14" s="57">
        <f t="shared" si="1"/>
        <v>1</v>
      </c>
      <c r="J14" s="54" t="s">
        <v>47</v>
      </c>
    </row>
    <row r="15" spans="1:12" customFormat="1" ht="16.5" customHeight="1" x14ac:dyDescent="0.35">
      <c r="A15" s="74">
        <v>11</v>
      </c>
      <c r="B15" s="55">
        <v>46349</v>
      </c>
      <c r="C15" s="55">
        <v>46353</v>
      </c>
      <c r="D15" s="57">
        <v>5</v>
      </c>
      <c r="E15" s="57">
        <v>0</v>
      </c>
      <c r="F15" s="57">
        <v>0</v>
      </c>
      <c r="G15" s="57">
        <v>0</v>
      </c>
      <c r="H15" s="57">
        <f t="shared" si="0"/>
        <v>5</v>
      </c>
      <c r="I15" s="57">
        <f t="shared" si="1"/>
        <v>1</v>
      </c>
      <c r="J15" s="54" t="s">
        <v>47</v>
      </c>
    </row>
    <row r="16" spans="1:12" customFormat="1" ht="16.5" customHeight="1" x14ac:dyDescent="0.35">
      <c r="A16" s="74">
        <v>12</v>
      </c>
      <c r="B16" s="55">
        <v>46356</v>
      </c>
      <c r="C16" s="55">
        <v>46360</v>
      </c>
      <c r="D16" s="57">
        <v>5</v>
      </c>
      <c r="E16" s="57">
        <v>0</v>
      </c>
      <c r="F16" s="57">
        <v>0</v>
      </c>
      <c r="G16" s="57">
        <v>0</v>
      </c>
      <c r="H16" s="57">
        <f t="shared" si="0"/>
        <v>5</v>
      </c>
      <c r="I16" s="57">
        <f t="shared" si="1"/>
        <v>1</v>
      </c>
      <c r="J16" s="54" t="s">
        <v>247</v>
      </c>
    </row>
    <row r="17" spans="1:10" customFormat="1" ht="16.5" customHeight="1" x14ac:dyDescent="0.35">
      <c r="A17" s="74">
        <v>13</v>
      </c>
      <c r="B17" s="55">
        <v>46363</v>
      </c>
      <c r="C17" s="55">
        <v>46367</v>
      </c>
      <c r="D17" s="57">
        <v>5</v>
      </c>
      <c r="E17" s="57">
        <v>0</v>
      </c>
      <c r="F17" s="57">
        <v>0</v>
      </c>
      <c r="G17" s="57">
        <v>0</v>
      </c>
      <c r="H17" s="57">
        <f t="shared" si="0"/>
        <v>5</v>
      </c>
      <c r="I17" s="57">
        <f t="shared" si="1"/>
        <v>1</v>
      </c>
      <c r="J17" s="54" t="s">
        <v>49</v>
      </c>
    </row>
    <row r="18" spans="1:10" customFormat="1" ht="16.5" customHeight="1" x14ac:dyDescent="0.35">
      <c r="A18" s="74">
        <v>14</v>
      </c>
      <c r="B18" s="55">
        <v>46370</v>
      </c>
      <c r="C18" s="55">
        <v>46374</v>
      </c>
      <c r="D18" s="57">
        <v>5</v>
      </c>
      <c r="E18" s="57">
        <v>0</v>
      </c>
      <c r="F18" s="57">
        <v>0</v>
      </c>
      <c r="G18" s="57">
        <v>0</v>
      </c>
      <c r="H18" s="57">
        <f t="shared" si="0"/>
        <v>5</v>
      </c>
      <c r="I18" s="57">
        <f t="shared" si="1"/>
        <v>1</v>
      </c>
      <c r="J18" s="54" t="s">
        <v>247</v>
      </c>
    </row>
    <row r="19" spans="1:10" customFormat="1" ht="16.5" customHeight="1" x14ac:dyDescent="0.35">
      <c r="A19" s="74">
        <v>15</v>
      </c>
      <c r="B19" s="55">
        <v>46377</v>
      </c>
      <c r="C19" s="55">
        <v>46381</v>
      </c>
      <c r="D19" s="57">
        <v>5</v>
      </c>
      <c r="E19" s="57">
        <v>0</v>
      </c>
      <c r="F19" s="57">
        <v>0</v>
      </c>
      <c r="G19" s="57">
        <v>0</v>
      </c>
      <c r="H19" s="57">
        <f t="shared" si="0"/>
        <v>5</v>
      </c>
      <c r="I19" s="57">
        <f t="shared" si="1"/>
        <v>1</v>
      </c>
      <c r="J19" s="54" t="s">
        <v>247</v>
      </c>
    </row>
    <row r="20" spans="1:10" customFormat="1" ht="16.5" customHeight="1" x14ac:dyDescent="0.35">
      <c r="A20" s="74">
        <v>16</v>
      </c>
      <c r="B20" s="55">
        <v>46384</v>
      </c>
      <c r="C20" s="55">
        <v>46388</v>
      </c>
      <c r="D20" s="57">
        <v>5</v>
      </c>
      <c r="E20" s="57">
        <v>0</v>
      </c>
      <c r="F20" s="57">
        <v>10</v>
      </c>
      <c r="G20" s="57">
        <v>0</v>
      </c>
      <c r="H20" s="57">
        <f t="shared" si="0"/>
        <v>15</v>
      </c>
      <c r="I20" s="57">
        <f t="shared" si="1"/>
        <v>3</v>
      </c>
      <c r="J20" s="54" t="s">
        <v>248</v>
      </c>
    </row>
    <row r="21" spans="1:10" customFormat="1" ht="16.5" customHeight="1" x14ac:dyDescent="0.35">
      <c r="A21" s="74">
        <v>17</v>
      </c>
      <c r="B21" s="55">
        <v>46391</v>
      </c>
      <c r="C21" s="55">
        <v>46395</v>
      </c>
      <c r="D21" s="57">
        <v>5</v>
      </c>
      <c r="E21" s="57">
        <v>0</v>
      </c>
      <c r="F21" s="57">
        <v>10</v>
      </c>
      <c r="G21" s="57">
        <v>0</v>
      </c>
      <c r="H21" s="57">
        <f t="shared" si="0"/>
        <v>15</v>
      </c>
      <c r="I21" s="57">
        <f t="shared" si="1"/>
        <v>3</v>
      </c>
      <c r="J21" s="54" t="s">
        <v>248</v>
      </c>
    </row>
    <row r="22" spans="1:10" customFormat="1" ht="16.5" customHeight="1" x14ac:dyDescent="0.35">
      <c r="A22" s="74">
        <v>18</v>
      </c>
      <c r="B22" s="55">
        <v>46398</v>
      </c>
      <c r="C22" s="55">
        <v>46402</v>
      </c>
      <c r="D22" s="57">
        <v>5</v>
      </c>
      <c r="E22" s="57">
        <v>5</v>
      </c>
      <c r="F22" s="57">
        <v>10</v>
      </c>
      <c r="G22" s="57">
        <v>0</v>
      </c>
      <c r="H22" s="57">
        <f t="shared" si="0"/>
        <v>20</v>
      </c>
      <c r="I22" s="57">
        <f t="shared" si="1"/>
        <v>4</v>
      </c>
      <c r="J22" s="54" t="s">
        <v>249</v>
      </c>
    </row>
    <row r="23" spans="1:10" customFormat="1" ht="29.15" customHeight="1" x14ac:dyDescent="0.35">
      <c r="A23" s="74">
        <v>19</v>
      </c>
      <c r="B23" s="55">
        <v>46405</v>
      </c>
      <c r="C23" s="55">
        <v>46409</v>
      </c>
      <c r="D23" s="57">
        <v>5</v>
      </c>
      <c r="E23" s="57">
        <v>15</v>
      </c>
      <c r="F23" s="57">
        <v>10</v>
      </c>
      <c r="G23" s="57">
        <v>0</v>
      </c>
      <c r="H23" s="57">
        <f t="shared" si="0"/>
        <v>30</v>
      </c>
      <c r="I23" s="57">
        <f t="shared" si="1"/>
        <v>6</v>
      </c>
      <c r="J23" s="54" t="s">
        <v>250</v>
      </c>
    </row>
    <row r="24" spans="1:10" customFormat="1" ht="29.15" customHeight="1" x14ac:dyDescent="0.35">
      <c r="A24" s="74">
        <v>20</v>
      </c>
      <c r="B24" s="55">
        <v>46412</v>
      </c>
      <c r="C24" s="55">
        <v>46416</v>
      </c>
      <c r="D24" s="57">
        <v>5</v>
      </c>
      <c r="E24" s="57">
        <v>15</v>
      </c>
      <c r="F24" s="57">
        <v>10</v>
      </c>
      <c r="G24" s="57">
        <v>0</v>
      </c>
      <c r="H24" s="57">
        <f t="shared" si="0"/>
        <v>30</v>
      </c>
      <c r="I24" s="57">
        <f t="shared" si="1"/>
        <v>6</v>
      </c>
      <c r="J24" s="54" t="s">
        <v>250</v>
      </c>
    </row>
    <row r="25" spans="1:10" customFormat="1" ht="29.15" customHeight="1" x14ac:dyDescent="0.35">
      <c r="A25" s="74">
        <v>21</v>
      </c>
      <c r="B25" s="55">
        <v>46419</v>
      </c>
      <c r="C25" s="55">
        <v>46423</v>
      </c>
      <c r="D25" s="57">
        <v>5</v>
      </c>
      <c r="E25" s="57">
        <v>15</v>
      </c>
      <c r="F25" s="57">
        <v>10</v>
      </c>
      <c r="G25" s="57">
        <v>0</v>
      </c>
      <c r="H25" s="57">
        <f t="shared" si="0"/>
        <v>30</v>
      </c>
      <c r="I25" s="57">
        <f t="shared" si="1"/>
        <v>6</v>
      </c>
      <c r="J25" s="54" t="s">
        <v>250</v>
      </c>
    </row>
    <row r="26" spans="1:10" customFormat="1" ht="29.15" customHeight="1" x14ac:dyDescent="0.35">
      <c r="A26" s="74">
        <v>22</v>
      </c>
      <c r="B26" s="55">
        <v>46426</v>
      </c>
      <c r="C26" s="55">
        <v>46430</v>
      </c>
      <c r="D26" s="57">
        <v>5</v>
      </c>
      <c r="E26" s="57">
        <v>15</v>
      </c>
      <c r="F26" s="57">
        <v>10</v>
      </c>
      <c r="G26" s="57">
        <v>0</v>
      </c>
      <c r="H26" s="57">
        <f t="shared" si="0"/>
        <v>30</v>
      </c>
      <c r="I26" s="57">
        <f t="shared" si="1"/>
        <v>6</v>
      </c>
      <c r="J26" s="54" t="s">
        <v>250</v>
      </c>
    </row>
    <row r="27" spans="1:10" customFormat="1" ht="29.15" customHeight="1" x14ac:dyDescent="0.35">
      <c r="A27" s="74">
        <v>23</v>
      </c>
      <c r="B27" s="55">
        <v>46433</v>
      </c>
      <c r="C27" s="55">
        <v>46437</v>
      </c>
      <c r="D27" s="57">
        <v>5</v>
      </c>
      <c r="E27" s="57">
        <v>15</v>
      </c>
      <c r="F27" s="57">
        <v>10</v>
      </c>
      <c r="G27" s="57">
        <v>0</v>
      </c>
      <c r="H27" s="57">
        <f t="shared" si="0"/>
        <v>30</v>
      </c>
      <c r="I27" s="57">
        <f t="shared" si="1"/>
        <v>6</v>
      </c>
      <c r="J27" s="54" t="s">
        <v>250</v>
      </c>
    </row>
    <row r="28" spans="1:10" customFormat="1" ht="29.15" customHeight="1" x14ac:dyDescent="0.35">
      <c r="A28" s="74">
        <v>24</v>
      </c>
      <c r="B28" s="55">
        <v>46440</v>
      </c>
      <c r="C28" s="55">
        <v>46444</v>
      </c>
      <c r="D28" s="57">
        <v>5</v>
      </c>
      <c r="E28" s="57">
        <v>15</v>
      </c>
      <c r="F28" s="57">
        <v>10</v>
      </c>
      <c r="G28" s="57">
        <v>0</v>
      </c>
      <c r="H28" s="57">
        <f t="shared" si="0"/>
        <v>30</v>
      </c>
      <c r="I28" s="57">
        <f t="shared" si="1"/>
        <v>6</v>
      </c>
      <c r="J28" s="54" t="s">
        <v>250</v>
      </c>
    </row>
    <row r="29" spans="1:10" customFormat="1" ht="29.15" customHeight="1" x14ac:dyDescent="0.35">
      <c r="A29" s="74">
        <v>25</v>
      </c>
      <c r="B29" s="55">
        <v>46447</v>
      </c>
      <c r="C29" s="55">
        <v>46451</v>
      </c>
      <c r="D29" s="57">
        <v>5</v>
      </c>
      <c r="E29" s="57">
        <v>15</v>
      </c>
      <c r="F29" s="57">
        <v>10</v>
      </c>
      <c r="G29" s="57">
        <v>0</v>
      </c>
      <c r="H29" s="57">
        <f t="shared" si="0"/>
        <v>30</v>
      </c>
      <c r="I29" s="57">
        <f t="shared" si="1"/>
        <v>6</v>
      </c>
      <c r="J29" s="54" t="s">
        <v>250</v>
      </c>
    </row>
    <row r="30" spans="1:10" customFormat="1" ht="16.5" customHeight="1" x14ac:dyDescent="0.35">
      <c r="A30" s="74">
        <v>26</v>
      </c>
      <c r="B30" s="55">
        <v>46454</v>
      </c>
      <c r="C30" s="55">
        <v>46458</v>
      </c>
      <c r="D30" s="57">
        <v>5</v>
      </c>
      <c r="E30" s="57">
        <v>14</v>
      </c>
      <c r="F30" s="57">
        <v>10</v>
      </c>
      <c r="G30" s="57">
        <v>1</v>
      </c>
      <c r="H30" s="57">
        <f t="shared" si="0"/>
        <v>30</v>
      </c>
      <c r="I30" s="57">
        <f t="shared" si="1"/>
        <v>6</v>
      </c>
      <c r="J30" s="54" t="s">
        <v>251</v>
      </c>
    </row>
    <row r="31" spans="1:10" customFormat="1" ht="16.5" customHeight="1" x14ac:dyDescent="0.35">
      <c r="A31" s="74">
        <v>27</v>
      </c>
      <c r="B31" s="55">
        <v>46461</v>
      </c>
      <c r="C31" s="55">
        <v>46465</v>
      </c>
      <c r="D31" s="57">
        <v>5</v>
      </c>
      <c r="E31" s="57">
        <v>14</v>
      </c>
      <c r="F31" s="57">
        <v>10</v>
      </c>
      <c r="G31" s="57">
        <v>1</v>
      </c>
      <c r="H31" s="57">
        <f t="shared" si="0"/>
        <v>30</v>
      </c>
      <c r="I31" s="57">
        <f t="shared" si="1"/>
        <v>6</v>
      </c>
      <c r="J31" s="54" t="s">
        <v>252</v>
      </c>
    </row>
    <row r="32" spans="1:10" customFormat="1" ht="16.5" customHeight="1" x14ac:dyDescent="0.35">
      <c r="A32" s="74">
        <v>28</v>
      </c>
      <c r="B32" s="55">
        <v>46468</v>
      </c>
      <c r="C32" s="55">
        <v>46472</v>
      </c>
      <c r="D32" s="57">
        <v>5</v>
      </c>
      <c r="E32" s="57">
        <v>14</v>
      </c>
      <c r="F32" s="57">
        <v>10</v>
      </c>
      <c r="G32" s="57">
        <v>1</v>
      </c>
      <c r="H32" s="57">
        <f t="shared" si="0"/>
        <v>30</v>
      </c>
      <c r="I32" s="57">
        <f t="shared" si="1"/>
        <v>6</v>
      </c>
      <c r="J32" s="54" t="s">
        <v>252</v>
      </c>
    </row>
    <row r="33" spans="1:10" customFormat="1" ht="16.5" customHeight="1" x14ac:dyDescent="0.35">
      <c r="A33" s="74">
        <v>29</v>
      </c>
      <c r="B33" s="55">
        <v>46475</v>
      </c>
      <c r="C33" s="55">
        <v>46479</v>
      </c>
      <c r="D33" s="57">
        <v>5</v>
      </c>
      <c r="E33" s="57">
        <v>14</v>
      </c>
      <c r="F33" s="57">
        <v>10</v>
      </c>
      <c r="G33" s="57">
        <v>1</v>
      </c>
      <c r="H33" s="57">
        <f t="shared" si="0"/>
        <v>30</v>
      </c>
      <c r="I33" s="57">
        <f t="shared" si="1"/>
        <v>6</v>
      </c>
      <c r="J33" s="54" t="s">
        <v>252</v>
      </c>
    </row>
    <row r="34" spans="1:10" customFormat="1" ht="16.5" customHeight="1" x14ac:dyDescent="0.35">
      <c r="A34" s="74">
        <v>30</v>
      </c>
      <c r="B34" s="55">
        <v>46482</v>
      </c>
      <c r="C34" s="55">
        <v>46486</v>
      </c>
      <c r="D34" s="57">
        <v>5</v>
      </c>
      <c r="E34" s="57">
        <v>14</v>
      </c>
      <c r="F34" s="57">
        <v>10</v>
      </c>
      <c r="G34" s="57">
        <v>1</v>
      </c>
      <c r="H34" s="57">
        <f t="shared" si="0"/>
        <v>30</v>
      </c>
      <c r="I34" s="57">
        <f t="shared" si="1"/>
        <v>6</v>
      </c>
      <c r="J34" s="54" t="s">
        <v>252</v>
      </c>
    </row>
    <row r="35" spans="1:10" customFormat="1" ht="29.15" customHeight="1" x14ac:dyDescent="0.35">
      <c r="A35" s="74">
        <v>31</v>
      </c>
      <c r="B35" s="55">
        <v>46489</v>
      </c>
      <c r="C35" s="55">
        <v>46493</v>
      </c>
      <c r="D35" s="57">
        <v>5</v>
      </c>
      <c r="E35" s="57">
        <v>14</v>
      </c>
      <c r="F35" s="57">
        <v>10</v>
      </c>
      <c r="G35" s="57">
        <v>1</v>
      </c>
      <c r="H35" s="57">
        <f t="shared" si="0"/>
        <v>30</v>
      </c>
      <c r="I35" s="57">
        <f t="shared" si="1"/>
        <v>6</v>
      </c>
      <c r="J35" s="54" t="s">
        <v>253</v>
      </c>
    </row>
    <row r="36" spans="1:10" customFormat="1" ht="16.5" customHeight="1" x14ac:dyDescent="0.35">
      <c r="A36" s="74">
        <v>32</v>
      </c>
      <c r="B36" s="55">
        <v>46496</v>
      </c>
      <c r="C36" s="55">
        <v>46500</v>
      </c>
      <c r="D36" s="57">
        <v>5</v>
      </c>
      <c r="E36" s="57">
        <v>14</v>
      </c>
      <c r="F36" s="57">
        <v>10</v>
      </c>
      <c r="G36" s="57">
        <v>1</v>
      </c>
      <c r="H36" s="57">
        <f t="shared" si="0"/>
        <v>30</v>
      </c>
      <c r="I36" s="57">
        <f t="shared" si="1"/>
        <v>6</v>
      </c>
      <c r="J36" s="54" t="s">
        <v>251</v>
      </c>
    </row>
    <row r="37" spans="1:10" customFormat="1" ht="16.5" customHeight="1" x14ac:dyDescent="0.35">
      <c r="A37" s="74">
        <v>33</v>
      </c>
      <c r="B37" s="55">
        <v>46503</v>
      </c>
      <c r="C37" s="55">
        <v>46507</v>
      </c>
      <c r="D37" s="57">
        <v>5</v>
      </c>
      <c r="E37" s="57">
        <v>14</v>
      </c>
      <c r="F37" s="57">
        <v>10</v>
      </c>
      <c r="G37" s="57">
        <v>1</v>
      </c>
      <c r="H37" s="57">
        <f t="shared" si="0"/>
        <v>30</v>
      </c>
      <c r="I37" s="57">
        <f t="shared" si="1"/>
        <v>6</v>
      </c>
      <c r="J37" s="54" t="s">
        <v>251</v>
      </c>
    </row>
    <row r="38" spans="1:10" customFormat="1" ht="16.5" customHeight="1" x14ac:dyDescent="0.35">
      <c r="A38" s="74">
        <v>34</v>
      </c>
      <c r="B38" s="55">
        <v>46510</v>
      </c>
      <c r="C38" s="55">
        <v>46514</v>
      </c>
      <c r="D38" s="57">
        <v>5</v>
      </c>
      <c r="E38" s="57">
        <v>15</v>
      </c>
      <c r="F38" s="57">
        <v>10</v>
      </c>
      <c r="G38" s="57">
        <v>0</v>
      </c>
      <c r="H38" s="57">
        <f t="shared" si="0"/>
        <v>30</v>
      </c>
      <c r="I38" s="57">
        <f t="shared" si="1"/>
        <v>6</v>
      </c>
      <c r="J38" s="54" t="s">
        <v>254</v>
      </c>
    </row>
    <row r="39" spans="1:10" customFormat="1" ht="16.5" customHeight="1" x14ac:dyDescent="0.35">
      <c r="A39" s="74">
        <v>35</v>
      </c>
      <c r="B39" s="55">
        <v>46517</v>
      </c>
      <c r="C39" s="55">
        <v>46521</v>
      </c>
      <c r="D39" s="57">
        <v>5</v>
      </c>
      <c r="E39" s="57">
        <v>15</v>
      </c>
      <c r="F39" s="57">
        <v>10</v>
      </c>
      <c r="G39" s="57">
        <v>0</v>
      </c>
      <c r="H39" s="57">
        <f t="shared" si="0"/>
        <v>30</v>
      </c>
      <c r="I39" s="57">
        <f t="shared" si="1"/>
        <v>6</v>
      </c>
      <c r="J39" s="54" t="s">
        <v>254</v>
      </c>
    </row>
    <row r="40" spans="1:10" customFormat="1" ht="16.5" customHeight="1" x14ac:dyDescent="0.35">
      <c r="A40" s="74">
        <v>36</v>
      </c>
      <c r="B40" s="55">
        <v>46524</v>
      </c>
      <c r="C40" s="55">
        <v>46528</v>
      </c>
      <c r="D40" s="57">
        <v>6</v>
      </c>
      <c r="E40" s="57">
        <v>3</v>
      </c>
      <c r="F40" s="57">
        <v>10</v>
      </c>
      <c r="G40" s="57">
        <v>4</v>
      </c>
      <c r="H40" s="57">
        <f t="shared" si="0"/>
        <v>23</v>
      </c>
      <c r="I40" s="57">
        <f t="shared" si="1"/>
        <v>4.5999999999999996</v>
      </c>
      <c r="J40" s="54" t="s">
        <v>255</v>
      </c>
    </row>
    <row r="41" spans="1:10" customFormat="1" ht="16.5" customHeight="1" x14ac:dyDescent="0.35">
      <c r="A41" s="74">
        <v>37</v>
      </c>
      <c r="B41" s="55">
        <v>46531</v>
      </c>
      <c r="C41" s="55">
        <v>46535</v>
      </c>
      <c r="D41" s="57">
        <v>5</v>
      </c>
      <c r="E41" s="57">
        <v>3</v>
      </c>
      <c r="F41" s="57">
        <v>10</v>
      </c>
      <c r="G41" s="57">
        <v>4</v>
      </c>
      <c r="H41" s="57">
        <f t="shared" si="0"/>
        <v>22</v>
      </c>
      <c r="I41" s="57">
        <f t="shared" si="1"/>
        <v>4.4000000000000004</v>
      </c>
      <c r="J41" s="54" t="s">
        <v>256</v>
      </c>
    </row>
    <row r="42" spans="1:10" customFormat="1" ht="16.5" customHeight="1" x14ac:dyDescent="0.35">
      <c r="A42" s="74">
        <v>38</v>
      </c>
      <c r="B42" s="55">
        <v>46538</v>
      </c>
      <c r="C42" s="55">
        <v>46542</v>
      </c>
      <c r="D42" s="57">
        <v>5</v>
      </c>
      <c r="E42" s="57">
        <v>0</v>
      </c>
      <c r="F42" s="57">
        <v>10</v>
      </c>
      <c r="G42" s="57">
        <v>0</v>
      </c>
      <c r="H42" s="57">
        <f t="shared" si="0"/>
        <v>15</v>
      </c>
      <c r="I42" s="57">
        <f t="shared" si="1"/>
        <v>3</v>
      </c>
      <c r="J42" s="54" t="s">
        <v>257</v>
      </c>
    </row>
    <row r="43" spans="1:10" customFormat="1" ht="16.5" customHeight="1" x14ac:dyDescent="0.35">
      <c r="A43" s="74">
        <v>39</v>
      </c>
      <c r="B43" s="55">
        <v>46545</v>
      </c>
      <c r="C43" s="55">
        <v>46549</v>
      </c>
      <c r="D43" s="57">
        <v>3</v>
      </c>
      <c r="E43" s="57">
        <v>8</v>
      </c>
      <c r="F43" s="57">
        <v>10</v>
      </c>
      <c r="G43" s="57">
        <v>4</v>
      </c>
      <c r="H43" s="57">
        <f t="shared" si="0"/>
        <v>25</v>
      </c>
      <c r="I43" s="57">
        <f t="shared" si="1"/>
        <v>5</v>
      </c>
      <c r="J43" s="54" t="s">
        <v>258</v>
      </c>
    </row>
    <row r="44" spans="1:10" customFormat="1" ht="16.5" customHeight="1" x14ac:dyDescent="0.35">
      <c r="A44" s="74">
        <v>40</v>
      </c>
      <c r="B44" s="55">
        <v>46552</v>
      </c>
      <c r="C44" s="55">
        <v>46556</v>
      </c>
      <c r="D44" s="57">
        <v>2</v>
      </c>
      <c r="E44" s="57">
        <v>9</v>
      </c>
      <c r="F44" s="57">
        <v>10</v>
      </c>
      <c r="G44" s="57">
        <v>4</v>
      </c>
      <c r="H44" s="57">
        <f t="shared" si="0"/>
        <v>25</v>
      </c>
      <c r="I44" s="57">
        <f t="shared" si="1"/>
        <v>5</v>
      </c>
      <c r="J44" s="54" t="s">
        <v>258</v>
      </c>
    </row>
    <row r="45" spans="1:10" x14ac:dyDescent="0.35">
      <c r="H45" s="75">
        <f>SUM(H5:H44)</f>
        <v>745</v>
      </c>
      <c r="I45" s="76">
        <f t="shared" si="1"/>
        <v>149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68"/>
  <sheetViews>
    <sheetView showGridLines="0" workbookViewId="0">
      <selection sqref="A1:L1"/>
    </sheetView>
  </sheetViews>
  <sheetFormatPr defaultRowHeight="14.5" x14ac:dyDescent="0.35"/>
  <cols>
    <col min="1" max="1" width="8" customWidth="1"/>
    <col min="2" max="2" width="34" customWidth="1"/>
    <col min="3" max="3" width="62" customWidth="1"/>
    <col min="4" max="4" width="18" customWidth="1"/>
    <col min="5" max="5" width="12" customWidth="1"/>
    <col min="6" max="7" width="11" customWidth="1"/>
    <col min="8" max="10" width="8.453125" customWidth="1"/>
    <col min="11" max="14" width="8.26953125" customWidth="1"/>
    <col min="15" max="16" width="8.54296875" customWidth="1"/>
    <col min="17" max="44" width="9.1796875" customWidth="1"/>
    <col min="45" max="47" width="10.81640625" customWidth="1"/>
  </cols>
  <sheetData>
    <row r="1" spans="1:47" ht="28" customHeight="1" x14ac:dyDescent="0.35">
      <c r="A1" s="133" t="s">
        <v>259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47" ht="22" customHeight="1" x14ac:dyDescent="0.35">
      <c r="A2" s="132" t="s">
        <v>260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4" spans="1:47" ht="43.5" customHeight="1" x14ac:dyDescent="0.35">
      <c r="A4" s="104" t="s">
        <v>131</v>
      </c>
      <c r="B4" s="104" t="s">
        <v>132</v>
      </c>
      <c r="C4" s="104" t="s">
        <v>133</v>
      </c>
      <c r="D4" s="104" t="s">
        <v>135</v>
      </c>
      <c r="E4" s="104" t="s">
        <v>43</v>
      </c>
      <c r="F4" s="104" t="s">
        <v>39</v>
      </c>
      <c r="G4" s="104" t="s">
        <v>40</v>
      </c>
      <c r="H4" s="104" t="s">
        <v>261</v>
      </c>
      <c r="I4" s="104" t="s">
        <v>262</v>
      </c>
      <c r="J4" s="104" t="s">
        <v>263</v>
      </c>
      <c r="K4" s="104" t="s">
        <v>264</v>
      </c>
      <c r="L4" s="104" t="s">
        <v>265</v>
      </c>
      <c r="M4" s="104" t="s">
        <v>266</v>
      </c>
      <c r="N4" s="104" t="s">
        <v>267</v>
      </c>
      <c r="O4" s="104" t="s">
        <v>268</v>
      </c>
      <c r="P4" s="104" t="s">
        <v>269</v>
      </c>
      <c r="Q4" s="104" t="s">
        <v>270</v>
      </c>
      <c r="R4" s="104" t="s">
        <v>271</v>
      </c>
      <c r="S4" s="104" t="s">
        <v>272</v>
      </c>
      <c r="T4" s="104" t="s">
        <v>273</v>
      </c>
      <c r="U4" s="104" t="s">
        <v>274</v>
      </c>
      <c r="V4" s="104" t="s">
        <v>275</v>
      </c>
      <c r="W4" s="104" t="s">
        <v>276</v>
      </c>
      <c r="X4" s="104" t="s">
        <v>277</v>
      </c>
      <c r="Y4" s="104" t="s">
        <v>278</v>
      </c>
      <c r="Z4" s="104" t="s">
        <v>279</v>
      </c>
      <c r="AA4" s="104" t="s">
        <v>280</v>
      </c>
      <c r="AB4" s="104" t="s">
        <v>281</v>
      </c>
      <c r="AC4" s="104" t="s">
        <v>282</v>
      </c>
      <c r="AD4" s="104" t="s">
        <v>283</v>
      </c>
      <c r="AE4" s="104" t="s">
        <v>284</v>
      </c>
      <c r="AF4" s="104" t="s">
        <v>285</v>
      </c>
      <c r="AG4" s="104" t="s">
        <v>286</v>
      </c>
      <c r="AH4" s="104" t="s">
        <v>287</v>
      </c>
      <c r="AI4" s="104" t="s">
        <v>288</v>
      </c>
      <c r="AJ4" s="104" t="s">
        <v>289</v>
      </c>
      <c r="AK4" s="104" t="s">
        <v>290</v>
      </c>
      <c r="AL4" s="104" t="s">
        <v>291</v>
      </c>
      <c r="AM4" s="104" t="s">
        <v>292</v>
      </c>
      <c r="AN4" s="104" t="s">
        <v>293</v>
      </c>
      <c r="AO4" s="104" t="s">
        <v>294</v>
      </c>
      <c r="AP4" s="104" t="s">
        <v>295</v>
      </c>
      <c r="AQ4" s="104" t="s">
        <v>296</v>
      </c>
      <c r="AR4" s="104" t="s">
        <v>297</v>
      </c>
      <c r="AS4" s="104" t="s">
        <v>298</v>
      </c>
      <c r="AT4" s="104" t="s">
        <v>299</v>
      </c>
      <c r="AU4" s="104" t="s">
        <v>300</v>
      </c>
    </row>
    <row r="5" spans="1:47" ht="29.15" customHeight="1" x14ac:dyDescent="0.35">
      <c r="A5" s="30">
        <v>1</v>
      </c>
      <c r="B5" s="105" t="s">
        <v>44</v>
      </c>
      <c r="C5" s="30" t="s">
        <v>142</v>
      </c>
      <c r="D5" s="30" t="s">
        <v>144</v>
      </c>
      <c r="E5" s="30">
        <v>8</v>
      </c>
      <c r="F5" s="30">
        <v>1</v>
      </c>
      <c r="G5" s="30">
        <v>2</v>
      </c>
      <c r="H5" s="106">
        <v>5</v>
      </c>
      <c r="I5" s="106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29.15" customHeight="1" x14ac:dyDescent="0.35">
      <c r="A6" s="30">
        <v>2</v>
      </c>
      <c r="B6" s="31" t="s">
        <v>45</v>
      </c>
      <c r="C6" s="30" t="s">
        <v>147</v>
      </c>
      <c r="D6" s="30" t="s">
        <v>144</v>
      </c>
      <c r="E6" s="30">
        <v>12</v>
      </c>
      <c r="F6" s="30">
        <v>2</v>
      </c>
      <c r="G6" s="30">
        <v>4</v>
      </c>
      <c r="H6" s="2"/>
      <c r="I6" s="3">
        <v>2</v>
      </c>
      <c r="J6" s="3">
        <v>5</v>
      </c>
      <c r="K6" s="3">
        <v>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29.15" customHeight="1" x14ac:dyDescent="0.35">
      <c r="A7" s="30">
        <v>3</v>
      </c>
      <c r="B7" s="32" t="s">
        <v>46</v>
      </c>
      <c r="C7" s="30" t="s">
        <v>149</v>
      </c>
      <c r="D7" s="30" t="s">
        <v>144</v>
      </c>
      <c r="E7" s="30">
        <v>12</v>
      </c>
      <c r="F7" s="30">
        <v>5</v>
      </c>
      <c r="G7" s="30">
        <v>7</v>
      </c>
      <c r="H7" s="2"/>
      <c r="I7" s="2"/>
      <c r="J7" s="2"/>
      <c r="K7" s="2"/>
      <c r="L7" s="4">
        <v>5</v>
      </c>
      <c r="M7" s="4">
        <v>5</v>
      </c>
      <c r="N7" s="4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29.15" customHeight="1" x14ac:dyDescent="0.35">
      <c r="A8" s="30">
        <v>4</v>
      </c>
      <c r="B8" s="33" t="s">
        <v>47</v>
      </c>
      <c r="C8" s="30" t="s">
        <v>151</v>
      </c>
      <c r="D8" s="30" t="s">
        <v>144</v>
      </c>
      <c r="E8" s="30">
        <v>22</v>
      </c>
      <c r="F8" s="30">
        <v>7</v>
      </c>
      <c r="G8" s="30">
        <v>11</v>
      </c>
      <c r="H8" s="2"/>
      <c r="I8" s="2"/>
      <c r="J8" s="2"/>
      <c r="K8" s="2"/>
      <c r="L8" s="2"/>
      <c r="M8" s="2"/>
      <c r="N8" s="5">
        <v>2</v>
      </c>
      <c r="O8" s="5">
        <v>5</v>
      </c>
      <c r="P8" s="5">
        <v>5</v>
      </c>
      <c r="Q8" s="5">
        <v>5</v>
      </c>
      <c r="R8" s="5">
        <v>5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29.15" customHeight="1" x14ac:dyDescent="0.35">
      <c r="A9" s="30">
        <v>5</v>
      </c>
      <c r="B9" s="34" t="s">
        <v>48</v>
      </c>
      <c r="C9" s="30" t="s">
        <v>153</v>
      </c>
      <c r="D9" s="30" t="s">
        <v>154</v>
      </c>
      <c r="E9" s="30">
        <v>69</v>
      </c>
      <c r="F9" s="30">
        <v>7</v>
      </c>
      <c r="G9" s="30">
        <v>38</v>
      </c>
      <c r="H9" s="2"/>
      <c r="I9" s="2"/>
      <c r="J9" s="2"/>
      <c r="K9" s="2"/>
      <c r="L9" s="2"/>
      <c r="M9" s="2"/>
      <c r="N9" s="6">
        <v>1</v>
      </c>
      <c r="O9" s="2"/>
      <c r="P9" s="2"/>
      <c r="Q9" s="2"/>
      <c r="R9" s="2"/>
      <c r="S9" s="6">
        <v>3</v>
      </c>
      <c r="T9" s="2"/>
      <c r="U9" s="6">
        <v>2</v>
      </c>
      <c r="V9" s="6">
        <v>1</v>
      </c>
      <c r="W9" s="6">
        <v>1</v>
      </c>
      <c r="X9" s="6">
        <v>1</v>
      </c>
      <c r="Y9" s="6">
        <v>5</v>
      </c>
      <c r="Z9" s="6">
        <v>5</v>
      </c>
      <c r="AA9" s="6">
        <v>5</v>
      </c>
      <c r="AB9" s="6">
        <v>5</v>
      </c>
      <c r="AC9" s="6">
        <v>5</v>
      </c>
      <c r="AD9" s="6">
        <v>5</v>
      </c>
      <c r="AE9" s="6">
        <v>5</v>
      </c>
      <c r="AF9" s="6">
        <v>5</v>
      </c>
      <c r="AG9" s="6">
        <v>5</v>
      </c>
      <c r="AH9" s="2"/>
      <c r="AI9" s="2"/>
      <c r="AJ9" s="2"/>
      <c r="AK9" s="2"/>
      <c r="AL9" s="6">
        <v>3</v>
      </c>
      <c r="AM9" s="6">
        <v>5</v>
      </c>
      <c r="AN9" s="6">
        <v>5</v>
      </c>
      <c r="AO9" s="2"/>
      <c r="AP9" s="2"/>
      <c r="AQ9" s="2"/>
      <c r="AR9" s="6">
        <v>1</v>
      </c>
      <c r="AS9" s="6">
        <v>1</v>
      </c>
      <c r="AT9" s="2"/>
      <c r="AU9" s="2"/>
    </row>
    <row r="10" spans="1:47" x14ac:dyDescent="0.35">
      <c r="A10" s="30">
        <v>6</v>
      </c>
      <c r="B10" s="35" t="s">
        <v>49</v>
      </c>
      <c r="C10" s="30" t="s">
        <v>157</v>
      </c>
      <c r="D10" s="30" t="s">
        <v>144</v>
      </c>
      <c r="E10" s="30">
        <v>2</v>
      </c>
      <c r="F10" s="30">
        <v>12</v>
      </c>
      <c r="G10" s="30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7">
        <v>2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35">
      <c r="A11" s="30">
        <v>7</v>
      </c>
      <c r="B11" s="35" t="s">
        <v>49</v>
      </c>
      <c r="C11" s="30" t="s">
        <v>160</v>
      </c>
      <c r="D11" s="30" t="s">
        <v>144</v>
      </c>
      <c r="E11" s="30">
        <v>8</v>
      </c>
      <c r="F11" s="30">
        <v>13</v>
      </c>
      <c r="G11" s="30">
        <v>14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7">
        <v>5</v>
      </c>
      <c r="U11" s="7">
        <v>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35">
      <c r="A12" s="30">
        <v>8</v>
      </c>
      <c r="B12" s="35" t="s">
        <v>49</v>
      </c>
      <c r="C12" s="30" t="s">
        <v>162</v>
      </c>
      <c r="D12" s="30" t="s">
        <v>144</v>
      </c>
      <c r="E12" s="30">
        <v>2</v>
      </c>
      <c r="F12" s="30">
        <v>15</v>
      </c>
      <c r="G12" s="30">
        <v>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>
        <v>2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35">
      <c r="A13" s="30">
        <v>9</v>
      </c>
      <c r="B13" s="35" t="s">
        <v>49</v>
      </c>
      <c r="C13" s="30" t="s">
        <v>164</v>
      </c>
      <c r="D13" s="30" t="s">
        <v>144</v>
      </c>
      <c r="E13" s="30">
        <v>2</v>
      </c>
      <c r="F13" s="30">
        <v>15</v>
      </c>
      <c r="G13" s="30">
        <v>15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7">
        <v>2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35">
      <c r="A14" s="30">
        <v>10</v>
      </c>
      <c r="B14" s="35" t="s">
        <v>49</v>
      </c>
      <c r="C14" s="30" t="s">
        <v>166</v>
      </c>
      <c r="D14" s="30" t="s">
        <v>144</v>
      </c>
      <c r="E14" s="30">
        <v>2</v>
      </c>
      <c r="F14" s="30">
        <v>16</v>
      </c>
      <c r="G14" s="30">
        <v>16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>
        <v>2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35">
      <c r="A15" s="30">
        <v>11</v>
      </c>
      <c r="B15" s="35" t="s">
        <v>49</v>
      </c>
      <c r="C15" s="30" t="s">
        <v>168</v>
      </c>
      <c r="D15" s="30" t="s">
        <v>144</v>
      </c>
      <c r="E15" s="30">
        <v>2</v>
      </c>
      <c r="F15" s="30">
        <v>16</v>
      </c>
      <c r="G15" s="30">
        <v>16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>
        <v>2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x14ac:dyDescent="0.35">
      <c r="A16" s="30">
        <v>12</v>
      </c>
      <c r="B16" s="35" t="s">
        <v>49</v>
      </c>
      <c r="C16" s="30" t="s">
        <v>170</v>
      </c>
      <c r="D16" s="30" t="s">
        <v>144</v>
      </c>
      <c r="E16" s="30">
        <v>2</v>
      </c>
      <c r="F16" s="30">
        <v>17</v>
      </c>
      <c r="G16" s="30">
        <v>17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>
        <v>2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35">
      <c r="A17" s="30">
        <v>13</v>
      </c>
      <c r="B17" s="35" t="s">
        <v>49</v>
      </c>
      <c r="C17" s="30" t="s">
        <v>172</v>
      </c>
      <c r="D17" s="30" t="s">
        <v>144</v>
      </c>
      <c r="E17" s="30">
        <v>2</v>
      </c>
      <c r="F17" s="30">
        <v>17</v>
      </c>
      <c r="G17" s="30">
        <v>17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>
        <v>2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35">
      <c r="A18" s="30">
        <v>14</v>
      </c>
      <c r="B18" s="107" t="s">
        <v>50</v>
      </c>
      <c r="C18" s="30" t="s">
        <v>174</v>
      </c>
      <c r="D18" s="30" t="s">
        <v>175</v>
      </c>
      <c r="E18" s="30">
        <v>4</v>
      </c>
      <c r="F18" s="30">
        <v>18</v>
      </c>
      <c r="G18" s="30">
        <v>18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08">
        <v>4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35">
      <c r="A19" s="30">
        <v>15</v>
      </c>
      <c r="B19" s="107" t="s">
        <v>50</v>
      </c>
      <c r="C19" s="30" t="s">
        <v>178</v>
      </c>
      <c r="D19" s="30" t="s">
        <v>175</v>
      </c>
      <c r="E19" s="30">
        <v>8</v>
      </c>
      <c r="F19" s="30">
        <v>18</v>
      </c>
      <c r="G19" s="30">
        <v>20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08">
        <v>1</v>
      </c>
      <c r="Z19" s="108">
        <v>5</v>
      </c>
      <c r="AA19" s="108">
        <v>2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x14ac:dyDescent="0.35">
      <c r="A20" s="30">
        <v>16</v>
      </c>
      <c r="B20" s="107" t="s">
        <v>50</v>
      </c>
      <c r="C20" s="30" t="s">
        <v>179</v>
      </c>
      <c r="D20" s="30" t="s">
        <v>175</v>
      </c>
      <c r="E20" s="30">
        <v>4</v>
      </c>
      <c r="F20" s="30">
        <v>20</v>
      </c>
      <c r="G20" s="30">
        <v>20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08">
        <v>4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35">
      <c r="A21" s="30">
        <v>17</v>
      </c>
      <c r="B21" s="107" t="s">
        <v>50</v>
      </c>
      <c r="C21" s="30" t="s">
        <v>180</v>
      </c>
      <c r="D21" s="30" t="s">
        <v>175</v>
      </c>
      <c r="E21" s="30">
        <v>4</v>
      </c>
      <c r="F21" s="30">
        <v>21</v>
      </c>
      <c r="G21" s="30">
        <v>21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08">
        <v>4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x14ac:dyDescent="0.35">
      <c r="A22" s="30">
        <v>18</v>
      </c>
      <c r="B22" s="107" t="s">
        <v>50</v>
      </c>
      <c r="C22" s="30" t="s">
        <v>181</v>
      </c>
      <c r="D22" s="30" t="s">
        <v>175</v>
      </c>
      <c r="E22" s="30">
        <v>4</v>
      </c>
      <c r="F22" s="30">
        <v>22</v>
      </c>
      <c r="G22" s="30">
        <v>22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108">
        <v>4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x14ac:dyDescent="0.35">
      <c r="A23" s="30">
        <v>19</v>
      </c>
      <c r="B23" s="107" t="s">
        <v>50</v>
      </c>
      <c r="C23" s="30" t="s">
        <v>182</v>
      </c>
      <c r="D23" s="30" t="s">
        <v>175</v>
      </c>
      <c r="E23" s="30">
        <v>4</v>
      </c>
      <c r="F23" s="30">
        <v>23</v>
      </c>
      <c r="G23" s="30">
        <v>23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08">
        <v>4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x14ac:dyDescent="0.35">
      <c r="A24" s="30">
        <v>20</v>
      </c>
      <c r="B24" s="107" t="s">
        <v>50</v>
      </c>
      <c r="C24" s="30" t="s">
        <v>183</v>
      </c>
      <c r="D24" s="30" t="s">
        <v>175</v>
      </c>
      <c r="E24" s="30">
        <v>4</v>
      </c>
      <c r="F24" s="30">
        <v>24</v>
      </c>
      <c r="G24" s="30">
        <v>24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108">
        <v>4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35">
      <c r="A25" s="30">
        <v>21</v>
      </c>
      <c r="B25" s="107" t="s">
        <v>50</v>
      </c>
      <c r="C25" s="30" t="s">
        <v>184</v>
      </c>
      <c r="D25" s="30" t="s">
        <v>175</v>
      </c>
      <c r="E25" s="30">
        <v>4</v>
      </c>
      <c r="F25" s="30">
        <v>25</v>
      </c>
      <c r="G25" s="30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08">
        <v>4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35">
      <c r="A26" s="30">
        <v>22</v>
      </c>
      <c r="B26" s="36" t="s">
        <v>51</v>
      </c>
      <c r="C26" s="30" t="s">
        <v>185</v>
      </c>
      <c r="D26" s="30" t="s">
        <v>175</v>
      </c>
      <c r="E26" s="30">
        <v>21</v>
      </c>
      <c r="F26" s="30">
        <v>21</v>
      </c>
      <c r="G26" s="30">
        <v>29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4</v>
      </c>
      <c r="AH26" s="8">
        <v>4</v>
      </c>
      <c r="AI26" s="8">
        <v>4</v>
      </c>
      <c r="AJ26" s="8">
        <v>4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x14ac:dyDescent="0.35">
      <c r="A27" s="30">
        <v>23</v>
      </c>
      <c r="B27" s="37" t="s">
        <v>52</v>
      </c>
      <c r="C27" s="30" t="s">
        <v>188</v>
      </c>
      <c r="D27" s="30" t="s">
        <v>175</v>
      </c>
      <c r="E27" s="30">
        <v>4</v>
      </c>
      <c r="F27" s="30">
        <v>26</v>
      </c>
      <c r="G27" s="30">
        <v>29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9">
        <v>1</v>
      </c>
      <c r="AH27" s="9">
        <v>1</v>
      </c>
      <c r="AI27" s="9">
        <v>1</v>
      </c>
      <c r="AJ27" s="9">
        <v>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x14ac:dyDescent="0.35">
      <c r="A28" s="30">
        <v>24</v>
      </c>
      <c r="B28" s="36" t="s">
        <v>51</v>
      </c>
      <c r="C28" s="30" t="s">
        <v>51</v>
      </c>
      <c r="D28" s="30" t="s">
        <v>175</v>
      </c>
      <c r="E28" s="30">
        <v>29</v>
      </c>
      <c r="F28" s="30">
        <v>30</v>
      </c>
      <c r="G28" s="30">
        <v>36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8">
        <v>4</v>
      </c>
      <c r="AL28" s="8">
        <v>4</v>
      </c>
      <c r="AM28" s="8">
        <v>4</v>
      </c>
      <c r="AN28" s="8">
        <v>4</v>
      </c>
      <c r="AO28" s="8">
        <v>5</v>
      </c>
      <c r="AP28" s="8">
        <v>5</v>
      </c>
      <c r="AQ28" s="8">
        <v>3</v>
      </c>
      <c r="AR28" s="2"/>
      <c r="AS28" s="2"/>
      <c r="AT28" s="2"/>
      <c r="AU28" s="2"/>
    </row>
    <row r="29" spans="1:47" x14ac:dyDescent="0.35">
      <c r="A29" s="30">
        <v>25</v>
      </c>
      <c r="B29" s="37" t="s">
        <v>52</v>
      </c>
      <c r="C29" s="30" t="s">
        <v>191</v>
      </c>
      <c r="D29" s="30" t="s">
        <v>175</v>
      </c>
      <c r="E29" s="30">
        <v>4</v>
      </c>
      <c r="F29" s="30">
        <v>30</v>
      </c>
      <c r="G29" s="30">
        <v>33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9">
        <v>1</v>
      </c>
      <c r="AL29" s="9">
        <v>1</v>
      </c>
      <c r="AM29" s="9">
        <v>1</v>
      </c>
      <c r="AN29" s="9">
        <v>1</v>
      </c>
      <c r="AO29" s="2"/>
      <c r="AP29" s="2"/>
      <c r="AQ29" s="2"/>
      <c r="AR29" s="2"/>
      <c r="AS29" s="2"/>
      <c r="AT29" s="2"/>
      <c r="AU29" s="2"/>
    </row>
    <row r="30" spans="1:47" x14ac:dyDescent="0.35">
      <c r="A30" s="30">
        <v>26</v>
      </c>
      <c r="B30" s="36" t="s">
        <v>51</v>
      </c>
      <c r="C30" s="30" t="s">
        <v>192</v>
      </c>
      <c r="D30" s="30" t="s">
        <v>81</v>
      </c>
      <c r="E30" s="30">
        <v>35</v>
      </c>
      <c r="F30" s="30">
        <v>19</v>
      </c>
      <c r="G30" s="30">
        <v>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8">
        <v>5</v>
      </c>
      <c r="AA30" s="8">
        <v>5</v>
      </c>
      <c r="AB30" s="8">
        <v>5</v>
      </c>
      <c r="AC30" s="8">
        <v>5</v>
      </c>
      <c r="AD30" s="8">
        <v>5</v>
      </c>
      <c r="AE30" s="8">
        <v>5</v>
      </c>
      <c r="AF30" s="8">
        <v>5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35">
      <c r="A31" s="30">
        <v>27</v>
      </c>
      <c r="B31" s="36" t="s">
        <v>51</v>
      </c>
      <c r="C31" s="30" t="s">
        <v>193</v>
      </c>
      <c r="D31" s="30" t="s">
        <v>81</v>
      </c>
      <c r="E31" s="30">
        <v>35</v>
      </c>
      <c r="F31" s="30">
        <v>26</v>
      </c>
      <c r="G31" s="30">
        <v>32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>
        <v>5</v>
      </c>
      <c r="AH31" s="8">
        <v>5</v>
      </c>
      <c r="AI31" s="8">
        <v>5</v>
      </c>
      <c r="AJ31" s="8">
        <v>5</v>
      </c>
      <c r="AK31" s="8">
        <v>5</v>
      </c>
      <c r="AL31" s="8">
        <v>5</v>
      </c>
      <c r="AM31" s="8">
        <v>5</v>
      </c>
      <c r="AN31" s="2"/>
      <c r="AO31" s="2"/>
      <c r="AP31" s="2"/>
      <c r="AQ31" s="2"/>
      <c r="AR31" s="2"/>
      <c r="AS31" s="2"/>
      <c r="AT31" s="2"/>
      <c r="AU31" s="2"/>
    </row>
    <row r="32" spans="1:47" x14ac:dyDescent="0.35">
      <c r="A32" s="30">
        <v>28</v>
      </c>
      <c r="B32" s="36" t="s">
        <v>51</v>
      </c>
      <c r="C32" s="30" t="s">
        <v>194</v>
      </c>
      <c r="D32" s="30" t="s">
        <v>81</v>
      </c>
      <c r="E32" s="30">
        <v>15</v>
      </c>
      <c r="F32" s="30">
        <v>33</v>
      </c>
      <c r="G32" s="30">
        <v>35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8">
        <v>5</v>
      </c>
      <c r="AO32" s="8">
        <v>5</v>
      </c>
      <c r="AP32" s="8">
        <v>5</v>
      </c>
      <c r="AQ32" s="2"/>
      <c r="AR32" s="2"/>
      <c r="AS32" s="2"/>
      <c r="AT32" s="2"/>
      <c r="AU32" s="2"/>
    </row>
    <row r="33" spans="1:47" x14ac:dyDescent="0.35">
      <c r="A33" s="30">
        <v>29</v>
      </c>
      <c r="B33" s="36" t="s">
        <v>51</v>
      </c>
      <c r="C33" s="30" t="s">
        <v>195</v>
      </c>
      <c r="D33" s="30" t="s">
        <v>82</v>
      </c>
      <c r="E33" s="30">
        <v>25</v>
      </c>
      <c r="F33" s="30">
        <v>19</v>
      </c>
      <c r="G33" s="30">
        <v>23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8">
        <v>5</v>
      </c>
      <c r="AA33" s="8">
        <v>5</v>
      </c>
      <c r="AB33" s="8">
        <v>5</v>
      </c>
      <c r="AC33" s="8">
        <v>5</v>
      </c>
      <c r="AD33" s="8">
        <v>5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x14ac:dyDescent="0.35">
      <c r="A34" s="30">
        <v>30</v>
      </c>
      <c r="B34" s="36" t="s">
        <v>51</v>
      </c>
      <c r="C34" s="30" t="s">
        <v>196</v>
      </c>
      <c r="D34" s="30" t="s">
        <v>82</v>
      </c>
      <c r="E34" s="30">
        <v>25</v>
      </c>
      <c r="F34" s="30">
        <v>24</v>
      </c>
      <c r="G34" s="30">
        <v>28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8">
        <v>5</v>
      </c>
      <c r="AF34" s="8">
        <v>5</v>
      </c>
      <c r="AG34" s="8">
        <v>5</v>
      </c>
      <c r="AH34" s="8">
        <v>5</v>
      </c>
      <c r="AI34" s="8">
        <v>5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x14ac:dyDescent="0.35">
      <c r="A35" s="30">
        <v>31</v>
      </c>
      <c r="B35" s="36" t="s">
        <v>51</v>
      </c>
      <c r="C35" s="30" t="s">
        <v>197</v>
      </c>
      <c r="D35" s="30" t="s">
        <v>82</v>
      </c>
      <c r="E35" s="30">
        <v>25</v>
      </c>
      <c r="F35" s="30">
        <v>29</v>
      </c>
      <c r="G35" s="30">
        <v>33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8">
        <v>5</v>
      </c>
      <c r="AK35" s="8">
        <v>5</v>
      </c>
      <c r="AL35" s="8">
        <v>5</v>
      </c>
      <c r="AM35" s="8">
        <v>5</v>
      </c>
      <c r="AN35" s="8">
        <v>5</v>
      </c>
      <c r="AO35" s="2"/>
      <c r="AP35" s="2"/>
      <c r="AQ35" s="2"/>
      <c r="AR35" s="2"/>
      <c r="AS35" s="2"/>
      <c r="AT35" s="2"/>
      <c r="AU35" s="2"/>
    </row>
    <row r="36" spans="1:47" x14ac:dyDescent="0.35">
      <c r="A36" s="30">
        <v>32</v>
      </c>
      <c r="B36" s="36" t="s">
        <v>51</v>
      </c>
      <c r="C36" s="30" t="s">
        <v>198</v>
      </c>
      <c r="D36" s="30" t="s">
        <v>82</v>
      </c>
      <c r="E36" s="30">
        <v>10</v>
      </c>
      <c r="F36" s="30">
        <v>34</v>
      </c>
      <c r="G36" s="30">
        <v>35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8">
        <v>5</v>
      </c>
      <c r="AP36" s="8">
        <v>5</v>
      </c>
      <c r="AQ36" s="2"/>
      <c r="AR36" s="2"/>
      <c r="AS36" s="2"/>
      <c r="AT36" s="2"/>
      <c r="AU36" s="2"/>
    </row>
    <row r="37" spans="1:47" x14ac:dyDescent="0.35">
      <c r="A37" s="30">
        <v>33</v>
      </c>
      <c r="B37" s="38" t="s">
        <v>53</v>
      </c>
      <c r="C37" s="30" t="s">
        <v>199</v>
      </c>
      <c r="D37" s="30" t="s">
        <v>144</v>
      </c>
      <c r="E37" s="30">
        <v>2</v>
      </c>
      <c r="F37" s="30">
        <v>27</v>
      </c>
      <c r="G37" s="30">
        <v>27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>
        <v>2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x14ac:dyDescent="0.35">
      <c r="A38" s="30">
        <v>34</v>
      </c>
      <c r="B38" s="38" t="s">
        <v>53</v>
      </c>
      <c r="C38" s="30" t="s">
        <v>202</v>
      </c>
      <c r="D38" s="30" t="s">
        <v>144</v>
      </c>
      <c r="E38" s="30">
        <v>5</v>
      </c>
      <c r="F38" s="30">
        <v>29</v>
      </c>
      <c r="G38" s="30">
        <v>29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10">
        <v>5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x14ac:dyDescent="0.35">
      <c r="A39" s="30">
        <v>35</v>
      </c>
      <c r="B39" s="38" t="s">
        <v>53</v>
      </c>
      <c r="C39" s="30" t="s">
        <v>203</v>
      </c>
      <c r="D39" s="30" t="s">
        <v>144</v>
      </c>
      <c r="E39" s="30">
        <v>5</v>
      </c>
      <c r="F39" s="30">
        <v>30</v>
      </c>
      <c r="G39" s="30">
        <v>30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10">
        <v>5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x14ac:dyDescent="0.35">
      <c r="A40" s="30">
        <v>36</v>
      </c>
      <c r="B40" s="38" t="s">
        <v>53</v>
      </c>
      <c r="C40" s="30" t="s">
        <v>204</v>
      </c>
      <c r="D40" s="30" t="s">
        <v>144</v>
      </c>
      <c r="E40" s="30">
        <v>2</v>
      </c>
      <c r="F40" s="30">
        <v>27</v>
      </c>
      <c r="G40" s="30">
        <v>27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>
        <v>2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x14ac:dyDescent="0.35">
      <c r="A41" s="30">
        <v>37</v>
      </c>
      <c r="B41" s="38" t="s">
        <v>53</v>
      </c>
      <c r="C41" s="30" t="s">
        <v>205</v>
      </c>
      <c r="D41" s="30" t="s">
        <v>144</v>
      </c>
      <c r="E41" s="30">
        <v>2</v>
      </c>
      <c r="F41" s="30">
        <v>27</v>
      </c>
      <c r="G41" s="30">
        <v>28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>
        <v>1</v>
      </c>
      <c r="AI41" s="10">
        <v>1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x14ac:dyDescent="0.35">
      <c r="A42" s="30">
        <v>38</v>
      </c>
      <c r="B42" s="38" t="s">
        <v>53</v>
      </c>
      <c r="C42" s="30" t="s">
        <v>206</v>
      </c>
      <c r="D42" s="30" t="s">
        <v>144</v>
      </c>
      <c r="E42" s="30">
        <v>2</v>
      </c>
      <c r="F42" s="30">
        <v>28</v>
      </c>
      <c r="G42" s="30">
        <v>28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10">
        <v>2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x14ac:dyDescent="0.35">
      <c r="A43" s="30">
        <v>39</v>
      </c>
      <c r="B43" s="38" t="s">
        <v>53</v>
      </c>
      <c r="C43" s="30" t="s">
        <v>207</v>
      </c>
      <c r="D43" s="30" t="s">
        <v>144</v>
      </c>
      <c r="E43" s="30">
        <v>2</v>
      </c>
      <c r="F43" s="30">
        <v>28</v>
      </c>
      <c r="G43" s="30">
        <v>28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10">
        <v>2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x14ac:dyDescent="0.35">
      <c r="A44" s="30">
        <v>40</v>
      </c>
      <c r="B44" s="38" t="s">
        <v>53</v>
      </c>
      <c r="C44" s="30" t="s">
        <v>208</v>
      </c>
      <c r="D44" s="30" t="s">
        <v>144</v>
      </c>
      <c r="E44" s="30">
        <v>2</v>
      </c>
      <c r="F44" s="30">
        <v>31</v>
      </c>
      <c r="G44" s="30">
        <v>31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10">
        <v>2</v>
      </c>
      <c r="AM44" s="2"/>
      <c r="AN44" s="2"/>
      <c r="AO44" s="2"/>
      <c r="AP44" s="2"/>
      <c r="AQ44" s="2"/>
      <c r="AR44" s="2"/>
      <c r="AS44" s="2"/>
      <c r="AT44" s="2"/>
      <c r="AU44" s="2"/>
    </row>
    <row r="45" spans="1:47" x14ac:dyDescent="0.35">
      <c r="A45" s="30">
        <v>41</v>
      </c>
      <c r="B45" s="39" t="s">
        <v>54</v>
      </c>
      <c r="C45" s="30" t="s">
        <v>209</v>
      </c>
      <c r="D45" s="30" t="s">
        <v>144</v>
      </c>
      <c r="E45" s="30">
        <v>2</v>
      </c>
      <c r="F45" s="30">
        <v>34</v>
      </c>
      <c r="G45" s="30">
        <v>34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11">
        <v>2</v>
      </c>
      <c r="AP45" s="2"/>
      <c r="AQ45" s="2"/>
      <c r="AR45" s="2"/>
      <c r="AS45" s="2"/>
      <c r="AT45" s="2"/>
      <c r="AU45" s="2"/>
    </row>
    <row r="46" spans="1:47" x14ac:dyDescent="0.35">
      <c r="A46" s="30">
        <v>42</v>
      </c>
      <c r="B46" s="39" t="s">
        <v>54</v>
      </c>
      <c r="C46" s="30" t="s">
        <v>212</v>
      </c>
      <c r="D46" s="30" t="s">
        <v>144</v>
      </c>
      <c r="E46" s="30">
        <v>5</v>
      </c>
      <c r="F46" s="30">
        <v>36</v>
      </c>
      <c r="G46" s="30">
        <v>37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11">
        <v>3</v>
      </c>
      <c r="AR46" s="11">
        <v>2</v>
      </c>
      <c r="AS46" s="2"/>
      <c r="AT46" s="2"/>
      <c r="AU46" s="2"/>
    </row>
    <row r="47" spans="1:47" x14ac:dyDescent="0.35">
      <c r="A47" s="30">
        <v>43</v>
      </c>
      <c r="B47" s="37" t="s">
        <v>52</v>
      </c>
      <c r="C47" s="30" t="s">
        <v>213</v>
      </c>
      <c r="D47" s="30" t="s">
        <v>144</v>
      </c>
      <c r="E47" s="30">
        <v>4</v>
      </c>
      <c r="F47" s="30">
        <v>36</v>
      </c>
      <c r="G47" s="30">
        <v>37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9">
        <v>2</v>
      </c>
      <c r="AR47" s="9">
        <v>2</v>
      </c>
      <c r="AS47" s="2"/>
      <c r="AT47" s="2"/>
      <c r="AU47" s="2"/>
    </row>
    <row r="48" spans="1:47" x14ac:dyDescent="0.35">
      <c r="A48" s="30">
        <v>44</v>
      </c>
      <c r="B48" s="39" t="s">
        <v>54</v>
      </c>
      <c r="C48" s="30" t="s">
        <v>214</v>
      </c>
      <c r="D48" s="30" t="s">
        <v>144</v>
      </c>
      <c r="E48" s="30">
        <v>5</v>
      </c>
      <c r="F48" s="30">
        <v>36</v>
      </c>
      <c r="G48" s="30">
        <v>37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11">
        <v>3</v>
      </c>
      <c r="AR48" s="11">
        <v>2</v>
      </c>
      <c r="AS48" s="2"/>
      <c r="AT48" s="2"/>
      <c r="AU48" s="2"/>
    </row>
    <row r="49" spans="1:47" x14ac:dyDescent="0.35">
      <c r="A49" s="30">
        <v>45</v>
      </c>
      <c r="B49" s="37" t="s">
        <v>52</v>
      </c>
      <c r="C49" s="30" t="s">
        <v>191</v>
      </c>
      <c r="D49" s="30" t="s">
        <v>144</v>
      </c>
      <c r="E49" s="30">
        <v>4</v>
      </c>
      <c r="F49" s="30">
        <v>36</v>
      </c>
      <c r="G49" s="30">
        <v>37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9">
        <v>2</v>
      </c>
      <c r="AR49" s="9">
        <v>2</v>
      </c>
      <c r="AS49" s="2"/>
      <c r="AT49" s="2"/>
      <c r="AU49" s="2"/>
    </row>
    <row r="50" spans="1:47" x14ac:dyDescent="0.35">
      <c r="A50" s="30">
        <v>46</v>
      </c>
      <c r="B50" s="39" t="s">
        <v>54</v>
      </c>
      <c r="C50" s="30" t="s">
        <v>215</v>
      </c>
      <c r="D50" s="30" t="s">
        <v>144</v>
      </c>
      <c r="E50" s="30">
        <v>2</v>
      </c>
      <c r="F50" s="30">
        <v>34</v>
      </c>
      <c r="G50" s="30">
        <v>34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11">
        <v>2</v>
      </c>
      <c r="AP50" s="2"/>
      <c r="AQ50" s="2"/>
      <c r="AR50" s="2"/>
      <c r="AS50" s="2"/>
      <c r="AT50" s="2"/>
      <c r="AU50" s="2"/>
    </row>
    <row r="51" spans="1:47" x14ac:dyDescent="0.35">
      <c r="A51" s="30">
        <v>47</v>
      </c>
      <c r="B51" s="39" t="s">
        <v>54</v>
      </c>
      <c r="C51" s="30" t="s">
        <v>216</v>
      </c>
      <c r="D51" s="30" t="s">
        <v>144</v>
      </c>
      <c r="E51" s="30">
        <v>2</v>
      </c>
      <c r="F51" s="30">
        <v>34</v>
      </c>
      <c r="G51" s="30">
        <v>35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11">
        <v>1</v>
      </c>
      <c r="AP51" s="11">
        <v>1</v>
      </c>
      <c r="AQ51" s="2"/>
      <c r="AR51" s="2"/>
      <c r="AS51" s="2"/>
      <c r="AT51" s="2"/>
      <c r="AU51" s="2"/>
    </row>
    <row r="52" spans="1:47" x14ac:dyDescent="0.35">
      <c r="A52" s="30">
        <v>48</v>
      </c>
      <c r="B52" s="39" t="s">
        <v>54</v>
      </c>
      <c r="C52" s="30" t="s">
        <v>217</v>
      </c>
      <c r="D52" s="30" t="s">
        <v>144</v>
      </c>
      <c r="E52" s="30">
        <v>2</v>
      </c>
      <c r="F52" s="30">
        <v>35</v>
      </c>
      <c r="G52" s="30">
        <v>35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11">
        <v>2</v>
      </c>
      <c r="AQ52" s="2"/>
      <c r="AR52" s="2"/>
      <c r="AS52" s="2"/>
      <c r="AT52" s="2"/>
      <c r="AU52" s="2"/>
    </row>
    <row r="53" spans="1:47" x14ac:dyDescent="0.35">
      <c r="A53" s="30">
        <v>49</v>
      </c>
      <c r="B53" s="39" t="s">
        <v>54</v>
      </c>
      <c r="C53" s="30" t="s">
        <v>218</v>
      </c>
      <c r="D53" s="30" t="s">
        <v>144</v>
      </c>
      <c r="E53" s="30">
        <v>2</v>
      </c>
      <c r="F53" s="30">
        <v>35</v>
      </c>
      <c r="G53" s="30">
        <v>35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1">
        <v>2</v>
      </c>
      <c r="AQ53" s="2"/>
      <c r="AR53" s="2"/>
      <c r="AS53" s="2"/>
      <c r="AT53" s="2"/>
      <c r="AU53" s="2"/>
    </row>
    <row r="54" spans="1:47" x14ac:dyDescent="0.35">
      <c r="A54" s="30">
        <v>50</v>
      </c>
      <c r="B54" s="39" t="s">
        <v>54</v>
      </c>
      <c r="C54" s="30" t="s">
        <v>219</v>
      </c>
      <c r="D54" s="30" t="s">
        <v>175</v>
      </c>
      <c r="E54" s="30">
        <v>2</v>
      </c>
      <c r="F54" s="30">
        <v>37</v>
      </c>
      <c r="G54" s="30">
        <v>37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">
        <v>2</v>
      </c>
      <c r="AS54" s="2"/>
      <c r="AT54" s="2"/>
      <c r="AU54" s="2"/>
    </row>
    <row r="55" spans="1:47" x14ac:dyDescent="0.35">
      <c r="A55" s="30">
        <v>51</v>
      </c>
      <c r="B55" s="40" t="s">
        <v>55</v>
      </c>
      <c r="C55" s="30" t="s">
        <v>55</v>
      </c>
      <c r="D55" s="30" t="s">
        <v>144</v>
      </c>
      <c r="E55" s="30">
        <v>4</v>
      </c>
      <c r="F55" s="30">
        <v>38</v>
      </c>
      <c r="G55" s="30">
        <v>38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12">
        <v>4</v>
      </c>
      <c r="AT55" s="2"/>
      <c r="AU55" s="2"/>
    </row>
    <row r="56" spans="1:47" x14ac:dyDescent="0.35">
      <c r="A56" s="30">
        <v>52</v>
      </c>
      <c r="B56" s="41" t="s">
        <v>56</v>
      </c>
      <c r="C56" s="30" t="s">
        <v>221</v>
      </c>
      <c r="D56" s="30" t="s">
        <v>81</v>
      </c>
      <c r="E56" s="30">
        <v>2</v>
      </c>
      <c r="F56" s="30">
        <v>39</v>
      </c>
      <c r="G56" s="30">
        <v>39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13">
        <v>2</v>
      </c>
      <c r="AU56" s="2"/>
    </row>
    <row r="57" spans="1:47" x14ac:dyDescent="0.35">
      <c r="A57" s="30">
        <v>53</v>
      </c>
      <c r="B57" s="41" t="s">
        <v>56</v>
      </c>
      <c r="C57" s="30" t="s">
        <v>224</v>
      </c>
      <c r="D57" s="30" t="s">
        <v>175</v>
      </c>
      <c r="E57" s="30">
        <v>5</v>
      </c>
      <c r="F57" s="30">
        <v>39</v>
      </c>
      <c r="G57" s="30">
        <v>40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13">
        <v>3</v>
      </c>
      <c r="AU57" s="13">
        <v>2</v>
      </c>
    </row>
    <row r="58" spans="1:47" x14ac:dyDescent="0.35">
      <c r="A58" s="30">
        <v>54</v>
      </c>
      <c r="B58" s="37" t="s">
        <v>52</v>
      </c>
      <c r="C58" s="30" t="s">
        <v>225</v>
      </c>
      <c r="D58" s="30" t="s">
        <v>175</v>
      </c>
      <c r="E58" s="30">
        <v>4</v>
      </c>
      <c r="F58" s="30">
        <v>39</v>
      </c>
      <c r="G58" s="30">
        <v>40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9">
        <v>2</v>
      </c>
      <c r="AU58" s="9">
        <v>2</v>
      </c>
    </row>
    <row r="59" spans="1:47" x14ac:dyDescent="0.35">
      <c r="A59" s="30">
        <v>55</v>
      </c>
      <c r="B59" s="41" t="s">
        <v>56</v>
      </c>
      <c r="C59" s="30" t="s">
        <v>226</v>
      </c>
      <c r="D59" s="30" t="s">
        <v>144</v>
      </c>
      <c r="E59" s="30">
        <v>5</v>
      </c>
      <c r="F59" s="30">
        <v>39</v>
      </c>
      <c r="G59" s="30">
        <v>40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13">
        <v>3</v>
      </c>
      <c r="AU59" s="13">
        <v>2</v>
      </c>
    </row>
    <row r="60" spans="1:47" x14ac:dyDescent="0.35">
      <c r="A60" s="30">
        <v>56</v>
      </c>
      <c r="B60" s="37" t="s">
        <v>52</v>
      </c>
      <c r="C60" s="30" t="s">
        <v>225</v>
      </c>
      <c r="D60" s="30" t="s">
        <v>144</v>
      </c>
      <c r="E60" s="30">
        <v>4</v>
      </c>
      <c r="F60" s="30">
        <v>39</v>
      </c>
      <c r="G60" s="30">
        <v>40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9">
        <v>2</v>
      </c>
      <c r="AU60" s="9">
        <v>2</v>
      </c>
    </row>
    <row r="61" spans="1:47" x14ac:dyDescent="0.35">
      <c r="A61" s="30">
        <v>57</v>
      </c>
      <c r="B61" s="41" t="s">
        <v>56</v>
      </c>
      <c r="C61" s="30" t="s">
        <v>227</v>
      </c>
      <c r="D61" s="30" t="s">
        <v>81</v>
      </c>
      <c r="E61" s="30">
        <v>2</v>
      </c>
      <c r="F61" s="30">
        <v>39</v>
      </c>
      <c r="G61" s="30">
        <v>39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13">
        <v>2</v>
      </c>
      <c r="AU61" s="2"/>
    </row>
    <row r="62" spans="1:47" x14ac:dyDescent="0.35">
      <c r="A62" s="30">
        <v>58</v>
      </c>
      <c r="B62" s="41" t="s">
        <v>56</v>
      </c>
      <c r="C62" s="30" t="s">
        <v>228</v>
      </c>
      <c r="D62" s="30" t="s">
        <v>81</v>
      </c>
      <c r="E62" s="30">
        <v>2</v>
      </c>
      <c r="F62" s="30">
        <v>40</v>
      </c>
      <c r="G62" s="30">
        <v>40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3">
        <v>2</v>
      </c>
    </row>
    <row r="63" spans="1:47" x14ac:dyDescent="0.35">
      <c r="A63" s="30">
        <v>59</v>
      </c>
      <c r="B63" s="41" t="s">
        <v>56</v>
      </c>
      <c r="C63" s="30" t="s">
        <v>229</v>
      </c>
      <c r="D63" s="30" t="s">
        <v>81</v>
      </c>
      <c r="E63" s="30">
        <v>2</v>
      </c>
      <c r="F63" s="30">
        <v>40</v>
      </c>
      <c r="G63" s="30">
        <v>40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3">
        <v>2</v>
      </c>
    </row>
    <row r="64" spans="1:47" x14ac:dyDescent="0.35">
      <c r="A64" s="30">
        <v>60</v>
      </c>
      <c r="B64" s="41" t="s">
        <v>56</v>
      </c>
      <c r="C64" s="30" t="s">
        <v>230</v>
      </c>
      <c r="D64" s="30" t="s">
        <v>81</v>
      </c>
      <c r="E64" s="30">
        <v>2</v>
      </c>
      <c r="F64" s="30">
        <v>39</v>
      </c>
      <c r="G64" s="30">
        <v>40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13">
        <v>1</v>
      </c>
      <c r="AU64" s="13">
        <v>1</v>
      </c>
    </row>
    <row r="65" spans="1:47" x14ac:dyDescent="0.35">
      <c r="A65" s="30">
        <v>61</v>
      </c>
      <c r="B65" s="41" t="s">
        <v>56</v>
      </c>
      <c r="C65" s="30" t="s">
        <v>231</v>
      </c>
      <c r="D65" s="30" t="s">
        <v>81</v>
      </c>
      <c r="E65" s="30">
        <v>2</v>
      </c>
      <c r="F65" s="30">
        <v>40</v>
      </c>
      <c r="G65" s="30">
        <v>40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3">
        <v>2</v>
      </c>
    </row>
    <row r="66" spans="1:47" x14ac:dyDescent="0.35">
      <c r="A66" s="30">
        <v>62</v>
      </c>
      <c r="B66" s="42" t="s">
        <v>57</v>
      </c>
      <c r="C66" s="30" t="s">
        <v>232</v>
      </c>
      <c r="D66" s="30" t="s">
        <v>233</v>
      </c>
      <c r="E66" s="30">
        <v>125</v>
      </c>
      <c r="F66" s="30">
        <v>16</v>
      </c>
      <c r="G66" s="30">
        <v>40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4">
        <v>5</v>
      </c>
      <c r="X66" s="14">
        <v>5</v>
      </c>
      <c r="Y66" s="14">
        <v>5</v>
      </c>
      <c r="Z66" s="14">
        <v>5</v>
      </c>
      <c r="AA66" s="14">
        <v>5</v>
      </c>
      <c r="AB66" s="14">
        <v>5</v>
      </c>
      <c r="AC66" s="14">
        <v>5</v>
      </c>
      <c r="AD66" s="14">
        <v>5</v>
      </c>
      <c r="AE66" s="14">
        <v>5</v>
      </c>
      <c r="AF66" s="14">
        <v>5</v>
      </c>
      <c r="AG66" s="14">
        <v>5</v>
      </c>
      <c r="AH66" s="14">
        <v>5</v>
      </c>
      <c r="AI66" s="14">
        <v>5</v>
      </c>
      <c r="AJ66" s="14">
        <v>5</v>
      </c>
      <c r="AK66" s="14">
        <v>5</v>
      </c>
      <c r="AL66" s="14">
        <v>5</v>
      </c>
      <c r="AM66" s="14">
        <v>5</v>
      </c>
      <c r="AN66" s="14">
        <v>5</v>
      </c>
      <c r="AO66" s="14">
        <v>5</v>
      </c>
      <c r="AP66" s="14">
        <v>5</v>
      </c>
      <c r="AQ66" s="14">
        <v>5</v>
      </c>
      <c r="AR66" s="14">
        <v>5</v>
      </c>
      <c r="AS66" s="14">
        <v>5</v>
      </c>
      <c r="AT66" s="14">
        <v>5</v>
      </c>
      <c r="AU66" s="14">
        <v>5</v>
      </c>
    </row>
    <row r="67" spans="1:47" x14ac:dyDescent="0.35">
      <c r="A67" s="30">
        <v>63</v>
      </c>
      <c r="B67" s="42" t="s">
        <v>57</v>
      </c>
      <c r="C67" s="30" t="s">
        <v>236</v>
      </c>
      <c r="D67" s="30" t="s">
        <v>233</v>
      </c>
      <c r="E67" s="30">
        <v>125</v>
      </c>
      <c r="F67" s="30">
        <v>16</v>
      </c>
      <c r="G67" s="30">
        <v>40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4">
        <v>5</v>
      </c>
      <c r="X67" s="14">
        <v>5</v>
      </c>
      <c r="Y67" s="14">
        <v>5</v>
      </c>
      <c r="Z67" s="14">
        <v>5</v>
      </c>
      <c r="AA67" s="14">
        <v>5</v>
      </c>
      <c r="AB67" s="14">
        <v>5</v>
      </c>
      <c r="AC67" s="14">
        <v>5</v>
      </c>
      <c r="AD67" s="14">
        <v>5</v>
      </c>
      <c r="AE67" s="14">
        <v>5</v>
      </c>
      <c r="AF67" s="14">
        <v>5</v>
      </c>
      <c r="AG67" s="14">
        <v>5</v>
      </c>
      <c r="AH67" s="14">
        <v>5</v>
      </c>
      <c r="AI67" s="14">
        <v>5</v>
      </c>
      <c r="AJ67" s="14">
        <v>5</v>
      </c>
      <c r="AK67" s="14">
        <v>5</v>
      </c>
      <c r="AL67" s="14">
        <v>5</v>
      </c>
      <c r="AM67" s="14">
        <v>5</v>
      </c>
      <c r="AN67" s="14">
        <v>5</v>
      </c>
      <c r="AO67" s="14">
        <v>5</v>
      </c>
      <c r="AP67" s="14">
        <v>5</v>
      </c>
      <c r="AQ67" s="14">
        <v>5</v>
      </c>
      <c r="AR67" s="14">
        <v>5</v>
      </c>
      <c r="AS67" s="14">
        <v>5</v>
      </c>
      <c r="AT67" s="14">
        <v>5</v>
      </c>
      <c r="AU67" s="14">
        <v>5</v>
      </c>
    </row>
    <row r="68" spans="1:47" x14ac:dyDescent="0.35">
      <c r="E68" s="52">
        <f>SUM(E5:E67)</f>
        <v>745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66"/>
  <sheetViews>
    <sheetView showGridLines="0" topLeftCell="A60" workbookViewId="0">
      <selection activeCell="A74" sqref="A74"/>
    </sheetView>
  </sheetViews>
  <sheetFormatPr defaultRowHeight="14.5" x14ac:dyDescent="0.35"/>
  <cols>
    <col min="1" max="1" width="49.36328125" customWidth="1"/>
    <col min="2" max="2" width="49.08984375" bestFit="1" customWidth="1"/>
    <col min="3" max="3" width="13" bestFit="1" customWidth="1"/>
    <col min="4" max="4" width="12.36328125" bestFit="1" customWidth="1"/>
    <col min="5" max="13" width="3.6328125" bestFit="1" customWidth="1"/>
    <col min="14" max="44" width="4.6328125" bestFit="1" customWidth="1"/>
  </cols>
  <sheetData>
    <row r="1" spans="1:44" x14ac:dyDescent="0.35">
      <c r="A1" s="134"/>
      <c r="B1" s="112"/>
      <c r="C1" s="112"/>
    </row>
    <row r="2" spans="1:44" ht="29.15" customHeight="1" x14ac:dyDescent="0.35">
      <c r="A2" s="109" t="s">
        <v>301</v>
      </c>
      <c r="B2" s="109" t="s">
        <v>302</v>
      </c>
      <c r="C2" s="109" t="s">
        <v>135</v>
      </c>
      <c r="D2" s="109" t="s">
        <v>303</v>
      </c>
      <c r="E2" s="109" t="s">
        <v>304</v>
      </c>
      <c r="F2" s="109" t="s">
        <v>305</v>
      </c>
      <c r="G2" s="109" t="s">
        <v>306</v>
      </c>
      <c r="H2" s="109" t="s">
        <v>307</v>
      </c>
      <c r="I2" s="109" t="s">
        <v>308</v>
      </c>
      <c r="J2" s="109" t="s">
        <v>309</v>
      </c>
      <c r="K2" s="109" t="s">
        <v>310</v>
      </c>
      <c r="L2" s="109" t="s">
        <v>311</v>
      </c>
      <c r="M2" s="109" t="s">
        <v>312</v>
      </c>
      <c r="N2" s="109" t="s">
        <v>313</v>
      </c>
      <c r="O2" s="109" t="s">
        <v>314</v>
      </c>
      <c r="P2" s="109" t="s">
        <v>315</v>
      </c>
      <c r="Q2" s="109" t="s">
        <v>316</v>
      </c>
      <c r="R2" s="109" t="s">
        <v>317</v>
      </c>
      <c r="S2" s="109" t="s">
        <v>318</v>
      </c>
      <c r="T2" s="109" t="s">
        <v>319</v>
      </c>
      <c r="U2" s="109" t="s">
        <v>320</v>
      </c>
      <c r="V2" s="109" t="s">
        <v>321</v>
      </c>
      <c r="W2" s="109" t="s">
        <v>322</v>
      </c>
      <c r="X2" s="109" t="s">
        <v>323</v>
      </c>
      <c r="Y2" s="109" t="s">
        <v>324</v>
      </c>
      <c r="Z2" s="109" t="s">
        <v>325</v>
      </c>
      <c r="AA2" s="109" t="s">
        <v>326</v>
      </c>
      <c r="AB2" s="109" t="s">
        <v>327</v>
      </c>
      <c r="AC2" s="109" t="s">
        <v>328</v>
      </c>
      <c r="AD2" s="109" t="s">
        <v>329</v>
      </c>
      <c r="AE2" s="109" t="s">
        <v>330</v>
      </c>
      <c r="AF2" s="109" t="s">
        <v>331</v>
      </c>
      <c r="AG2" s="109" t="s">
        <v>332</v>
      </c>
      <c r="AH2" s="109" t="s">
        <v>333</v>
      </c>
      <c r="AI2" s="109" t="s">
        <v>334</v>
      </c>
      <c r="AJ2" s="109" t="s">
        <v>335</v>
      </c>
      <c r="AK2" s="109" t="s">
        <v>336</v>
      </c>
      <c r="AL2" s="109" t="s">
        <v>337</v>
      </c>
      <c r="AM2" s="109" t="s">
        <v>338</v>
      </c>
      <c r="AN2" s="109" t="s">
        <v>339</v>
      </c>
      <c r="AO2" s="109" t="s">
        <v>340</v>
      </c>
      <c r="AP2" s="109" t="s">
        <v>341</v>
      </c>
      <c r="AQ2" s="109" t="s">
        <v>342</v>
      </c>
      <c r="AR2" s="109" t="s">
        <v>343</v>
      </c>
    </row>
    <row r="3" spans="1:44" ht="29.15" customHeight="1" x14ac:dyDescent="0.35">
      <c r="A3" s="30" t="s">
        <v>142</v>
      </c>
      <c r="B3" s="105" t="s">
        <v>44</v>
      </c>
      <c r="C3" s="43" t="s">
        <v>144</v>
      </c>
      <c r="D3" s="44">
        <f t="shared" ref="D3:D34" si="0">SUM(E3:AR3)</f>
        <v>8</v>
      </c>
      <c r="E3" s="45">
        <v>5</v>
      </c>
      <c r="F3" s="45">
        <v>3</v>
      </c>
      <c r="G3" s="46">
        <v>0</v>
      </c>
      <c r="H3" s="46">
        <v>0</v>
      </c>
      <c r="I3" s="46">
        <v>0</v>
      </c>
      <c r="J3" s="46">
        <v>0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P3" s="46">
        <v>0</v>
      </c>
      <c r="Q3" s="46">
        <v>0</v>
      </c>
      <c r="R3" s="46">
        <v>0</v>
      </c>
      <c r="S3" s="46">
        <v>0</v>
      </c>
      <c r="T3" s="46">
        <v>0</v>
      </c>
      <c r="U3" s="46">
        <v>0</v>
      </c>
      <c r="V3" s="46">
        <v>0</v>
      </c>
      <c r="W3" s="46">
        <v>0</v>
      </c>
      <c r="X3" s="46">
        <v>0</v>
      </c>
      <c r="Y3" s="46">
        <v>0</v>
      </c>
      <c r="Z3" s="46">
        <v>0</v>
      </c>
      <c r="AA3" s="46">
        <v>0</v>
      </c>
      <c r="AB3" s="46">
        <v>0</v>
      </c>
      <c r="AC3" s="46">
        <v>0</v>
      </c>
      <c r="AD3" s="46">
        <v>0</v>
      </c>
      <c r="AE3" s="46">
        <v>0</v>
      </c>
      <c r="AF3" s="46">
        <v>0</v>
      </c>
      <c r="AG3" s="46">
        <v>0</v>
      </c>
      <c r="AH3" s="46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  <c r="AN3" s="46">
        <v>0</v>
      </c>
      <c r="AO3" s="46">
        <v>0</v>
      </c>
      <c r="AP3" s="46">
        <v>0</v>
      </c>
      <c r="AQ3" s="46">
        <v>0</v>
      </c>
      <c r="AR3" s="46">
        <v>0</v>
      </c>
    </row>
    <row r="4" spans="1:44" ht="43.5" customHeight="1" x14ac:dyDescent="0.35">
      <c r="A4" s="30" t="s">
        <v>147</v>
      </c>
      <c r="B4" s="31" t="s">
        <v>45</v>
      </c>
      <c r="C4" s="43" t="s">
        <v>144</v>
      </c>
      <c r="D4" s="44">
        <f t="shared" si="0"/>
        <v>12</v>
      </c>
      <c r="E4" s="46">
        <v>0</v>
      </c>
      <c r="F4" s="45">
        <v>2</v>
      </c>
      <c r="G4" s="45">
        <v>5</v>
      </c>
      <c r="H4" s="45">
        <v>5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46">
        <v>0</v>
      </c>
      <c r="Q4" s="46">
        <v>0</v>
      </c>
      <c r="R4" s="46">
        <v>0</v>
      </c>
      <c r="S4" s="46">
        <v>0</v>
      </c>
      <c r="T4" s="46">
        <v>0</v>
      </c>
      <c r="U4" s="46">
        <v>0</v>
      </c>
      <c r="V4" s="46">
        <v>0</v>
      </c>
      <c r="W4" s="46">
        <v>0</v>
      </c>
      <c r="X4" s="46">
        <v>0</v>
      </c>
      <c r="Y4" s="46">
        <v>0</v>
      </c>
      <c r="Z4" s="46">
        <v>0</v>
      </c>
      <c r="AA4" s="46">
        <v>0</v>
      </c>
      <c r="AB4" s="46">
        <v>0</v>
      </c>
      <c r="AC4" s="46">
        <v>0</v>
      </c>
      <c r="AD4" s="46">
        <v>0</v>
      </c>
      <c r="AE4" s="46">
        <v>0</v>
      </c>
      <c r="AF4" s="46">
        <v>0</v>
      </c>
      <c r="AG4" s="46">
        <v>0</v>
      </c>
      <c r="AH4" s="46">
        <v>0</v>
      </c>
      <c r="AI4" s="46">
        <v>0</v>
      </c>
      <c r="AJ4" s="46">
        <v>0</v>
      </c>
      <c r="AK4" s="46">
        <v>0</v>
      </c>
      <c r="AL4" s="46">
        <v>0</v>
      </c>
      <c r="AM4" s="46">
        <v>0</v>
      </c>
      <c r="AN4" s="46">
        <v>0</v>
      </c>
      <c r="AO4" s="46">
        <v>0</v>
      </c>
      <c r="AP4" s="46">
        <v>0</v>
      </c>
      <c r="AQ4" s="46">
        <v>0</v>
      </c>
      <c r="AR4" s="46">
        <v>0</v>
      </c>
    </row>
    <row r="5" spans="1:44" ht="23.15" customHeight="1" x14ac:dyDescent="0.35">
      <c r="A5" s="30" t="s">
        <v>149</v>
      </c>
      <c r="B5" s="36" t="s">
        <v>46</v>
      </c>
      <c r="C5" s="43" t="s">
        <v>144</v>
      </c>
      <c r="D5" s="44">
        <f t="shared" si="0"/>
        <v>12</v>
      </c>
      <c r="E5" s="46">
        <v>0</v>
      </c>
      <c r="F5" s="46">
        <v>0</v>
      </c>
      <c r="G5" s="46">
        <v>0</v>
      </c>
      <c r="H5" s="46">
        <v>0</v>
      </c>
      <c r="I5" s="45">
        <v>5</v>
      </c>
      <c r="J5" s="45">
        <v>5</v>
      </c>
      <c r="K5" s="47">
        <v>2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46">
        <v>0</v>
      </c>
      <c r="AE5" s="46">
        <v>0</v>
      </c>
      <c r="AF5" s="46">
        <v>0</v>
      </c>
      <c r="AG5" s="46">
        <v>0</v>
      </c>
      <c r="AH5" s="46">
        <v>0</v>
      </c>
      <c r="AI5" s="46">
        <v>0</v>
      </c>
      <c r="AJ5" s="46">
        <v>0</v>
      </c>
      <c r="AK5" s="46">
        <v>0</v>
      </c>
      <c r="AL5" s="46">
        <v>0</v>
      </c>
      <c r="AM5" s="46">
        <v>0</v>
      </c>
      <c r="AN5" s="46">
        <v>0</v>
      </c>
      <c r="AO5" s="46">
        <v>0</v>
      </c>
      <c r="AP5" s="46">
        <v>0</v>
      </c>
      <c r="AQ5" s="46">
        <v>0</v>
      </c>
      <c r="AR5" s="46">
        <v>0</v>
      </c>
    </row>
    <row r="6" spans="1:44" ht="14.5" customHeight="1" x14ac:dyDescent="0.35">
      <c r="A6" s="30" t="s">
        <v>151</v>
      </c>
      <c r="B6" s="33" t="s">
        <v>47</v>
      </c>
      <c r="C6" s="43" t="s">
        <v>144</v>
      </c>
      <c r="D6" s="44">
        <f t="shared" si="0"/>
        <v>22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7">
        <v>2</v>
      </c>
      <c r="L6" s="45">
        <v>5</v>
      </c>
      <c r="M6" s="45">
        <v>5</v>
      </c>
      <c r="N6" s="45">
        <v>5</v>
      </c>
      <c r="O6" s="45">
        <v>5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0</v>
      </c>
      <c r="AG6" s="46">
        <v>0</v>
      </c>
      <c r="AH6" s="46">
        <v>0</v>
      </c>
      <c r="AI6" s="46">
        <v>0</v>
      </c>
      <c r="AJ6" s="46">
        <v>0</v>
      </c>
      <c r="AK6" s="46">
        <v>0</v>
      </c>
      <c r="AL6" s="46">
        <v>0</v>
      </c>
      <c r="AM6" s="46">
        <v>0</v>
      </c>
      <c r="AN6" s="46">
        <v>0</v>
      </c>
      <c r="AO6" s="46">
        <v>0</v>
      </c>
      <c r="AP6" s="46">
        <v>0</v>
      </c>
      <c r="AQ6" s="46">
        <v>0</v>
      </c>
      <c r="AR6" s="46">
        <v>0</v>
      </c>
    </row>
    <row r="7" spans="1:44" ht="20.149999999999999" customHeight="1" x14ac:dyDescent="0.35">
      <c r="A7" s="30" t="s">
        <v>153</v>
      </c>
      <c r="B7" s="34" t="s">
        <v>48</v>
      </c>
      <c r="C7" s="43" t="s">
        <v>154</v>
      </c>
      <c r="D7" s="44">
        <f t="shared" si="0"/>
        <v>69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7">
        <v>1</v>
      </c>
      <c r="L7" s="46">
        <v>0</v>
      </c>
      <c r="M7" s="46">
        <v>0</v>
      </c>
      <c r="N7" s="46">
        <v>0</v>
      </c>
      <c r="O7" s="46">
        <v>0</v>
      </c>
      <c r="P7" s="45">
        <v>3</v>
      </c>
      <c r="Q7" s="46">
        <v>0</v>
      </c>
      <c r="R7" s="45">
        <v>2</v>
      </c>
      <c r="S7" s="45">
        <v>1</v>
      </c>
      <c r="T7" s="47">
        <v>1</v>
      </c>
      <c r="U7" s="47">
        <v>1</v>
      </c>
      <c r="V7" s="47">
        <v>5</v>
      </c>
      <c r="W7" s="47">
        <v>5</v>
      </c>
      <c r="X7" s="47">
        <v>5</v>
      </c>
      <c r="Y7" s="47">
        <v>5</v>
      </c>
      <c r="Z7" s="47">
        <v>5</v>
      </c>
      <c r="AA7" s="47">
        <v>5</v>
      </c>
      <c r="AB7" s="47">
        <v>5</v>
      </c>
      <c r="AC7" s="47">
        <v>5</v>
      </c>
      <c r="AD7" s="47">
        <v>5</v>
      </c>
      <c r="AE7" s="46">
        <v>0</v>
      </c>
      <c r="AF7" s="46">
        <v>0</v>
      </c>
      <c r="AG7" s="46">
        <v>0</v>
      </c>
      <c r="AH7" s="46">
        <v>0</v>
      </c>
      <c r="AI7" s="47">
        <v>3</v>
      </c>
      <c r="AJ7" s="47">
        <v>5</v>
      </c>
      <c r="AK7" s="47">
        <v>5</v>
      </c>
      <c r="AL7" s="46">
        <v>0</v>
      </c>
      <c r="AM7" s="46">
        <v>0</v>
      </c>
      <c r="AN7" s="46">
        <v>0</v>
      </c>
      <c r="AO7" s="47">
        <v>1</v>
      </c>
      <c r="AP7" s="47">
        <v>1</v>
      </c>
      <c r="AQ7" s="46">
        <v>0</v>
      </c>
      <c r="AR7" s="46">
        <v>0</v>
      </c>
    </row>
    <row r="8" spans="1:44" x14ac:dyDescent="0.35">
      <c r="A8" s="30" t="s">
        <v>157</v>
      </c>
      <c r="B8" s="35" t="s">
        <v>49</v>
      </c>
      <c r="C8" s="43" t="s">
        <v>144</v>
      </c>
      <c r="D8" s="44">
        <f t="shared" si="0"/>
        <v>2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5">
        <v>2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</row>
    <row r="9" spans="1:44" x14ac:dyDescent="0.35">
      <c r="A9" s="30" t="s">
        <v>160</v>
      </c>
      <c r="B9" s="35" t="s">
        <v>49</v>
      </c>
      <c r="C9" s="43" t="s">
        <v>144</v>
      </c>
      <c r="D9" s="44">
        <f t="shared" si="0"/>
        <v>8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5">
        <v>5</v>
      </c>
      <c r="R9" s="45">
        <v>3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</row>
    <row r="10" spans="1:44" x14ac:dyDescent="0.35">
      <c r="A10" s="30" t="s">
        <v>162</v>
      </c>
      <c r="B10" s="35" t="s">
        <v>49</v>
      </c>
      <c r="C10" s="43" t="s">
        <v>144</v>
      </c>
      <c r="D10" s="44">
        <f t="shared" si="0"/>
        <v>2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5">
        <v>2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</row>
    <row r="11" spans="1:44" x14ac:dyDescent="0.35">
      <c r="A11" s="30" t="s">
        <v>164</v>
      </c>
      <c r="B11" s="35" t="s">
        <v>49</v>
      </c>
      <c r="C11" s="43" t="s">
        <v>144</v>
      </c>
      <c r="D11" s="44">
        <f t="shared" si="0"/>
        <v>2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5">
        <v>2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0</v>
      </c>
      <c r="AJ11" s="46">
        <v>0</v>
      </c>
      <c r="AK11" s="46">
        <v>0</v>
      </c>
      <c r="AL11" s="46">
        <v>0</v>
      </c>
      <c r="AM11" s="46">
        <v>0</v>
      </c>
      <c r="AN11" s="46">
        <v>0</v>
      </c>
      <c r="AO11" s="46">
        <v>0</v>
      </c>
      <c r="AP11" s="46">
        <v>0</v>
      </c>
      <c r="AQ11" s="46">
        <v>0</v>
      </c>
      <c r="AR11" s="46">
        <v>0</v>
      </c>
    </row>
    <row r="12" spans="1:44" x14ac:dyDescent="0.35">
      <c r="A12" s="30" t="s">
        <v>166</v>
      </c>
      <c r="B12" s="35" t="s">
        <v>49</v>
      </c>
      <c r="C12" s="43" t="s">
        <v>144</v>
      </c>
      <c r="D12" s="44">
        <f t="shared" si="0"/>
        <v>2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7">
        <v>2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6">
        <v>0</v>
      </c>
      <c r="AK12" s="46">
        <v>0</v>
      </c>
      <c r="AL12" s="46">
        <v>0</v>
      </c>
      <c r="AM12" s="46">
        <v>0</v>
      </c>
      <c r="AN12" s="46">
        <v>0</v>
      </c>
      <c r="AO12" s="46">
        <v>0</v>
      </c>
      <c r="AP12" s="46">
        <v>0</v>
      </c>
      <c r="AQ12" s="46">
        <v>0</v>
      </c>
      <c r="AR12" s="46">
        <v>0</v>
      </c>
    </row>
    <row r="13" spans="1:44" x14ac:dyDescent="0.35">
      <c r="A13" s="30" t="s">
        <v>168</v>
      </c>
      <c r="B13" s="35" t="s">
        <v>49</v>
      </c>
      <c r="C13" s="43" t="s">
        <v>144</v>
      </c>
      <c r="D13" s="44">
        <f t="shared" si="0"/>
        <v>2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7">
        <v>2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6">
        <v>0</v>
      </c>
      <c r="AL13" s="46">
        <v>0</v>
      </c>
      <c r="AM13" s="46">
        <v>0</v>
      </c>
      <c r="AN13" s="46">
        <v>0</v>
      </c>
      <c r="AO13" s="46">
        <v>0</v>
      </c>
      <c r="AP13" s="46">
        <v>0</v>
      </c>
      <c r="AQ13" s="46">
        <v>0</v>
      </c>
      <c r="AR13" s="46">
        <v>0</v>
      </c>
    </row>
    <row r="14" spans="1:44" x14ac:dyDescent="0.35">
      <c r="A14" s="30" t="s">
        <v>170</v>
      </c>
      <c r="B14" s="35" t="s">
        <v>49</v>
      </c>
      <c r="C14" s="43" t="s">
        <v>144</v>
      </c>
      <c r="D14" s="44">
        <f t="shared" si="0"/>
        <v>2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7">
        <v>2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v>0</v>
      </c>
      <c r="AM14" s="46">
        <v>0</v>
      </c>
      <c r="AN14" s="46">
        <v>0</v>
      </c>
      <c r="AO14" s="46">
        <v>0</v>
      </c>
      <c r="AP14" s="46">
        <v>0</v>
      </c>
      <c r="AQ14" s="46">
        <v>0</v>
      </c>
      <c r="AR14" s="46">
        <v>0</v>
      </c>
    </row>
    <row r="15" spans="1:44" x14ac:dyDescent="0.35">
      <c r="A15" s="30" t="s">
        <v>172</v>
      </c>
      <c r="B15" s="35" t="s">
        <v>49</v>
      </c>
      <c r="C15" s="43" t="s">
        <v>144</v>
      </c>
      <c r="D15" s="44">
        <f t="shared" si="0"/>
        <v>2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7">
        <v>2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6">
        <v>0</v>
      </c>
      <c r="AH15" s="46">
        <v>0</v>
      </c>
      <c r="AI15" s="46">
        <v>0</v>
      </c>
      <c r="AJ15" s="46">
        <v>0</v>
      </c>
      <c r="AK15" s="46">
        <v>0</v>
      </c>
      <c r="AL15" s="46">
        <v>0</v>
      </c>
      <c r="AM15" s="46">
        <v>0</v>
      </c>
      <c r="AN15" s="46">
        <v>0</v>
      </c>
      <c r="AO15" s="46">
        <v>0</v>
      </c>
      <c r="AP15" s="46">
        <v>0</v>
      </c>
      <c r="AQ15" s="46">
        <v>0</v>
      </c>
      <c r="AR15" s="46">
        <v>0</v>
      </c>
    </row>
    <row r="16" spans="1:44" ht="29.15" customHeight="1" x14ac:dyDescent="0.35">
      <c r="A16" s="30" t="s">
        <v>174</v>
      </c>
      <c r="B16" s="48" t="s">
        <v>50</v>
      </c>
      <c r="C16" s="43" t="s">
        <v>175</v>
      </c>
      <c r="D16" s="44">
        <f t="shared" si="0"/>
        <v>4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5">
        <v>4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46">
        <v>0</v>
      </c>
      <c r="AH16" s="46">
        <v>0</v>
      </c>
      <c r="AI16" s="46">
        <v>0</v>
      </c>
      <c r="AJ16" s="46">
        <v>0</v>
      </c>
      <c r="AK16" s="46">
        <v>0</v>
      </c>
      <c r="AL16" s="46">
        <v>0</v>
      </c>
      <c r="AM16" s="46">
        <v>0</v>
      </c>
      <c r="AN16" s="46">
        <v>0</v>
      </c>
      <c r="AO16" s="46">
        <v>0</v>
      </c>
      <c r="AP16" s="46">
        <v>0</v>
      </c>
      <c r="AQ16" s="46">
        <v>0</v>
      </c>
      <c r="AR16" s="46">
        <v>0</v>
      </c>
    </row>
    <row r="17" spans="1:44" ht="29.15" customHeight="1" x14ac:dyDescent="0.35">
      <c r="A17" s="30" t="s">
        <v>178</v>
      </c>
      <c r="B17" s="48" t="s">
        <v>50</v>
      </c>
      <c r="C17" s="43" t="s">
        <v>175</v>
      </c>
      <c r="D17" s="44">
        <f t="shared" si="0"/>
        <v>8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5">
        <v>1</v>
      </c>
      <c r="W17" s="45">
        <v>5</v>
      </c>
      <c r="X17" s="45">
        <v>2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46">
        <v>0</v>
      </c>
      <c r="AH17" s="46">
        <v>0</v>
      </c>
      <c r="AI17" s="46">
        <v>0</v>
      </c>
      <c r="AJ17" s="46">
        <v>0</v>
      </c>
      <c r="AK17" s="46">
        <v>0</v>
      </c>
      <c r="AL17" s="46">
        <v>0</v>
      </c>
      <c r="AM17" s="46">
        <v>0</v>
      </c>
      <c r="AN17" s="46">
        <v>0</v>
      </c>
      <c r="AO17" s="46">
        <v>0</v>
      </c>
      <c r="AP17" s="46">
        <v>0</v>
      </c>
      <c r="AQ17" s="46">
        <v>0</v>
      </c>
      <c r="AR17" s="46">
        <v>0</v>
      </c>
    </row>
    <row r="18" spans="1:44" ht="29.15" customHeight="1" x14ac:dyDescent="0.35">
      <c r="A18" s="30" t="s">
        <v>179</v>
      </c>
      <c r="B18" s="48" t="s">
        <v>50</v>
      </c>
      <c r="C18" s="43" t="s">
        <v>175</v>
      </c>
      <c r="D18" s="44">
        <f t="shared" si="0"/>
        <v>4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>
        <v>0</v>
      </c>
      <c r="U18" s="46">
        <v>0</v>
      </c>
      <c r="V18" s="46">
        <v>0</v>
      </c>
      <c r="W18" s="46">
        <v>0</v>
      </c>
      <c r="X18" s="45">
        <v>4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46">
        <v>0</v>
      </c>
      <c r="AH18" s="46">
        <v>0</v>
      </c>
      <c r="AI18" s="46">
        <v>0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P18" s="46">
        <v>0</v>
      </c>
      <c r="AQ18" s="46">
        <v>0</v>
      </c>
      <c r="AR18" s="46">
        <v>0</v>
      </c>
    </row>
    <row r="19" spans="1:44" ht="29.15" customHeight="1" x14ac:dyDescent="0.35">
      <c r="A19" s="30" t="s">
        <v>180</v>
      </c>
      <c r="B19" s="48" t="s">
        <v>50</v>
      </c>
      <c r="C19" s="43" t="s">
        <v>175</v>
      </c>
      <c r="D19" s="44">
        <f t="shared" si="0"/>
        <v>4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5">
        <v>4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6">
        <v>0</v>
      </c>
      <c r="AG19" s="46">
        <v>0</v>
      </c>
      <c r="AH19" s="46">
        <v>0</v>
      </c>
      <c r="AI19" s="46">
        <v>0</v>
      </c>
      <c r="AJ19" s="46">
        <v>0</v>
      </c>
      <c r="AK19" s="46">
        <v>0</v>
      </c>
      <c r="AL19" s="46">
        <v>0</v>
      </c>
      <c r="AM19" s="46">
        <v>0</v>
      </c>
      <c r="AN19" s="46">
        <v>0</v>
      </c>
      <c r="AP19" s="46">
        <v>0</v>
      </c>
      <c r="AQ19" s="46">
        <v>0</v>
      </c>
      <c r="AR19" s="46">
        <v>0</v>
      </c>
    </row>
    <row r="20" spans="1:44" x14ac:dyDescent="0.35">
      <c r="A20" s="30" t="s">
        <v>181</v>
      </c>
      <c r="B20" s="48" t="s">
        <v>50</v>
      </c>
      <c r="C20" s="43" t="s">
        <v>175</v>
      </c>
      <c r="D20" s="44">
        <f t="shared" si="0"/>
        <v>4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5">
        <v>4</v>
      </c>
      <c r="AA20" s="46">
        <v>0</v>
      </c>
      <c r="AB20" s="46">
        <v>0</v>
      </c>
      <c r="AC20" s="46">
        <v>0</v>
      </c>
      <c r="AD20" s="46">
        <v>0</v>
      </c>
      <c r="AE20" s="46">
        <v>0</v>
      </c>
      <c r="AF20" s="46">
        <v>0</v>
      </c>
      <c r="AG20" s="46">
        <v>0</v>
      </c>
      <c r="AH20" s="46">
        <v>0</v>
      </c>
      <c r="AI20" s="46">
        <v>0</v>
      </c>
      <c r="AJ20" s="46">
        <v>0</v>
      </c>
      <c r="AK20" s="46">
        <v>0</v>
      </c>
      <c r="AL20" s="46">
        <v>0</v>
      </c>
      <c r="AM20" s="46">
        <v>0</v>
      </c>
      <c r="AN20" s="46">
        <v>0</v>
      </c>
      <c r="AP20" s="46">
        <v>0</v>
      </c>
      <c r="AQ20" s="46">
        <v>0</v>
      </c>
      <c r="AR20" s="46">
        <v>0</v>
      </c>
    </row>
    <row r="21" spans="1:44" x14ac:dyDescent="0.35">
      <c r="A21" s="30" t="s">
        <v>182</v>
      </c>
      <c r="B21" s="48" t="s">
        <v>50</v>
      </c>
      <c r="C21" s="43" t="s">
        <v>175</v>
      </c>
      <c r="D21" s="44">
        <f t="shared" si="0"/>
        <v>4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5">
        <v>4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6">
        <v>0</v>
      </c>
      <c r="AL21" s="46">
        <v>0</v>
      </c>
      <c r="AM21" s="46">
        <v>0</v>
      </c>
      <c r="AN21" s="46">
        <v>0</v>
      </c>
      <c r="AP21" s="46">
        <v>0</v>
      </c>
      <c r="AQ21" s="46">
        <v>0</v>
      </c>
      <c r="AR21" s="46">
        <v>0</v>
      </c>
    </row>
    <row r="22" spans="1:44" ht="29.15" customHeight="1" x14ac:dyDescent="0.35">
      <c r="A22" s="30" t="s">
        <v>183</v>
      </c>
      <c r="B22" s="48" t="s">
        <v>50</v>
      </c>
      <c r="C22" s="43" t="s">
        <v>175</v>
      </c>
      <c r="D22" s="44">
        <f t="shared" si="0"/>
        <v>4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5">
        <v>4</v>
      </c>
      <c r="AC22" s="46">
        <v>0</v>
      </c>
      <c r="AD22" s="46">
        <v>0</v>
      </c>
      <c r="AE22" s="46">
        <v>0</v>
      </c>
      <c r="AF22" s="46">
        <v>0</v>
      </c>
      <c r="AG22" s="46">
        <v>0</v>
      </c>
      <c r="AH22" s="46">
        <v>0</v>
      </c>
      <c r="AI22" s="46">
        <v>0</v>
      </c>
      <c r="AJ22" s="46">
        <v>0</v>
      </c>
      <c r="AK22" s="46">
        <v>0</v>
      </c>
      <c r="AL22" s="46">
        <v>0</v>
      </c>
      <c r="AM22" s="46">
        <v>0</v>
      </c>
      <c r="AN22" s="46">
        <v>0</v>
      </c>
      <c r="AP22" s="46">
        <v>0</v>
      </c>
      <c r="AQ22" s="46">
        <v>0</v>
      </c>
      <c r="AR22" s="46">
        <v>0</v>
      </c>
    </row>
    <row r="23" spans="1:44" ht="29.15" customHeight="1" x14ac:dyDescent="0.35">
      <c r="A23" s="30" t="s">
        <v>184</v>
      </c>
      <c r="B23" s="48" t="s">
        <v>50</v>
      </c>
      <c r="C23" s="43" t="s">
        <v>175</v>
      </c>
      <c r="D23" s="44">
        <f t="shared" si="0"/>
        <v>4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5">
        <v>4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6">
        <v>0</v>
      </c>
      <c r="AL23" s="46">
        <v>0</v>
      </c>
      <c r="AM23" s="46">
        <v>0</v>
      </c>
      <c r="AN23" s="46">
        <v>0</v>
      </c>
      <c r="AP23" s="46">
        <v>0</v>
      </c>
      <c r="AQ23" s="46">
        <v>0</v>
      </c>
      <c r="AR23" s="46">
        <v>0</v>
      </c>
    </row>
    <row r="24" spans="1:44" ht="29.15" customHeight="1" x14ac:dyDescent="0.35">
      <c r="A24" s="30" t="s">
        <v>185</v>
      </c>
      <c r="B24" s="36" t="s">
        <v>51</v>
      </c>
      <c r="C24" s="43" t="s">
        <v>175</v>
      </c>
      <c r="D24" s="44">
        <f t="shared" si="0"/>
        <v>21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4</v>
      </c>
      <c r="AE24" s="45">
        <v>4</v>
      </c>
      <c r="AF24" s="45">
        <v>4</v>
      </c>
      <c r="AG24" s="45">
        <v>4</v>
      </c>
      <c r="AH24" s="46">
        <v>0</v>
      </c>
      <c r="AI24" s="46">
        <v>0</v>
      </c>
      <c r="AJ24" s="46">
        <v>0</v>
      </c>
      <c r="AK24" s="46">
        <v>0</v>
      </c>
      <c r="AL24" s="46">
        <v>0</v>
      </c>
      <c r="AM24" s="46">
        <v>0</v>
      </c>
      <c r="AN24" s="46">
        <v>0</v>
      </c>
      <c r="AP24" s="46">
        <v>0</v>
      </c>
      <c r="AQ24" s="46">
        <v>0</v>
      </c>
      <c r="AR24" s="46">
        <v>0</v>
      </c>
    </row>
    <row r="25" spans="1:44" ht="29.15" customHeight="1" x14ac:dyDescent="0.35">
      <c r="A25" s="30"/>
      <c r="B25" s="49" t="s">
        <v>188</v>
      </c>
      <c r="C25" s="43" t="s">
        <v>175</v>
      </c>
      <c r="D25" s="44">
        <f t="shared" si="0"/>
        <v>4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5">
        <v>1</v>
      </c>
      <c r="AE25" s="45">
        <v>1</v>
      </c>
      <c r="AF25" s="45">
        <v>1</v>
      </c>
      <c r="AG25" s="45">
        <v>1</v>
      </c>
      <c r="AH25" s="46"/>
      <c r="AI25" s="46"/>
      <c r="AJ25" s="46"/>
      <c r="AK25" s="46"/>
      <c r="AL25" s="46"/>
      <c r="AM25" s="46"/>
      <c r="AN25" s="46"/>
      <c r="AP25" s="46"/>
      <c r="AQ25" s="46"/>
      <c r="AR25" s="46"/>
    </row>
    <row r="26" spans="1:44" x14ac:dyDescent="0.35">
      <c r="A26" s="30"/>
      <c r="B26" s="36" t="s">
        <v>51</v>
      </c>
      <c r="C26" s="43" t="s">
        <v>175</v>
      </c>
      <c r="D26" s="44">
        <f t="shared" si="0"/>
        <v>29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5">
        <v>4</v>
      </c>
      <c r="AI26" s="45">
        <v>4</v>
      </c>
      <c r="AJ26" s="45">
        <v>4</v>
      </c>
      <c r="AK26" s="45">
        <v>4</v>
      </c>
      <c r="AL26" s="45">
        <v>5</v>
      </c>
      <c r="AM26" s="45">
        <v>5</v>
      </c>
      <c r="AN26" s="45">
        <v>3</v>
      </c>
      <c r="AP26" s="46">
        <v>0</v>
      </c>
      <c r="AQ26" s="46">
        <v>0</v>
      </c>
      <c r="AR26" s="46">
        <v>0</v>
      </c>
    </row>
    <row r="27" spans="1:44" ht="29.15" customHeight="1" x14ac:dyDescent="0.35">
      <c r="A27" s="30"/>
      <c r="B27" s="49" t="s">
        <v>191</v>
      </c>
      <c r="C27" s="43" t="s">
        <v>175</v>
      </c>
      <c r="D27" s="44">
        <f t="shared" si="0"/>
        <v>4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5">
        <v>1</v>
      </c>
      <c r="AI27" s="45">
        <v>1</v>
      </c>
      <c r="AJ27" s="45">
        <v>1</v>
      </c>
      <c r="AK27" s="45">
        <v>1</v>
      </c>
      <c r="AL27" s="46"/>
      <c r="AM27" s="46"/>
      <c r="AN27" s="46"/>
      <c r="AP27" s="46"/>
      <c r="AQ27" s="46"/>
      <c r="AR27" s="46"/>
    </row>
    <row r="28" spans="1:44" x14ac:dyDescent="0.35">
      <c r="A28" s="30" t="s">
        <v>192</v>
      </c>
      <c r="B28" s="36" t="s">
        <v>51</v>
      </c>
      <c r="C28" s="43" t="s">
        <v>81</v>
      </c>
      <c r="D28" s="44">
        <f t="shared" si="0"/>
        <v>35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5">
        <v>5</v>
      </c>
      <c r="X28" s="45">
        <v>5</v>
      </c>
      <c r="Y28" s="45">
        <v>5</v>
      </c>
      <c r="Z28" s="45">
        <v>5</v>
      </c>
      <c r="AA28" s="45">
        <v>5</v>
      </c>
      <c r="AB28" s="45">
        <v>5</v>
      </c>
      <c r="AC28" s="45">
        <v>5</v>
      </c>
      <c r="AD28" s="46">
        <v>0</v>
      </c>
      <c r="AE28" s="46">
        <v>0</v>
      </c>
      <c r="AF28" s="46">
        <v>0</v>
      </c>
      <c r="AG28" s="46">
        <v>0</v>
      </c>
      <c r="AH28" s="46">
        <v>0</v>
      </c>
      <c r="AI28" s="46">
        <v>0</v>
      </c>
      <c r="AJ28" s="46">
        <v>0</v>
      </c>
      <c r="AK28" s="46">
        <v>0</v>
      </c>
      <c r="AL28" s="46">
        <v>0</v>
      </c>
      <c r="AM28" s="46">
        <v>0</v>
      </c>
      <c r="AN28" s="46">
        <v>0</v>
      </c>
      <c r="AO28" s="46">
        <v>0</v>
      </c>
      <c r="AP28" s="46">
        <v>0</v>
      </c>
      <c r="AQ28" s="46">
        <v>0</v>
      </c>
      <c r="AR28" s="46">
        <v>0</v>
      </c>
    </row>
    <row r="29" spans="1:44" ht="29.15" customHeight="1" x14ac:dyDescent="0.35">
      <c r="A29" s="30" t="s">
        <v>193</v>
      </c>
      <c r="B29" s="36" t="s">
        <v>51</v>
      </c>
      <c r="C29" s="43" t="s">
        <v>81</v>
      </c>
      <c r="D29" s="44">
        <f t="shared" si="0"/>
        <v>35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5">
        <v>5</v>
      </c>
      <c r="AE29" s="45">
        <v>5</v>
      </c>
      <c r="AF29" s="45">
        <v>5</v>
      </c>
      <c r="AG29" s="45">
        <v>5</v>
      </c>
      <c r="AH29" s="45">
        <v>5</v>
      </c>
      <c r="AI29" s="45">
        <v>5</v>
      </c>
      <c r="AJ29" s="45">
        <v>5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</row>
    <row r="30" spans="1:44" ht="29.15" customHeight="1" x14ac:dyDescent="0.35">
      <c r="A30" s="30" t="s">
        <v>194</v>
      </c>
      <c r="B30" s="36" t="s">
        <v>51</v>
      </c>
      <c r="C30" s="43" t="s">
        <v>81</v>
      </c>
      <c r="D30" s="44">
        <f t="shared" si="0"/>
        <v>15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5">
        <v>5</v>
      </c>
      <c r="AL30" s="45">
        <v>5</v>
      </c>
      <c r="AM30" s="45">
        <v>5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</row>
    <row r="31" spans="1:44" x14ac:dyDescent="0.35">
      <c r="A31" s="30" t="s">
        <v>195</v>
      </c>
      <c r="B31" s="36" t="s">
        <v>51</v>
      </c>
      <c r="C31" s="43" t="s">
        <v>82</v>
      </c>
      <c r="D31" s="44">
        <f t="shared" si="0"/>
        <v>25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5">
        <v>5</v>
      </c>
      <c r="X31" s="45">
        <v>5</v>
      </c>
      <c r="Y31" s="45">
        <v>5</v>
      </c>
      <c r="Z31" s="45">
        <v>5</v>
      </c>
      <c r="AA31" s="45">
        <v>5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  <c r="AR31" s="46">
        <v>0</v>
      </c>
    </row>
    <row r="32" spans="1:44" x14ac:dyDescent="0.35">
      <c r="A32" s="30" t="s">
        <v>196</v>
      </c>
      <c r="B32" s="36" t="s">
        <v>51</v>
      </c>
      <c r="C32" s="43" t="s">
        <v>82</v>
      </c>
      <c r="D32" s="44">
        <f t="shared" si="0"/>
        <v>25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46">
        <v>0</v>
      </c>
      <c r="AH32" s="46">
        <v>0</v>
      </c>
      <c r="AI32" s="46">
        <v>0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0</v>
      </c>
      <c r="AP32" s="46">
        <v>0</v>
      </c>
      <c r="AQ32" s="46">
        <v>0</v>
      </c>
      <c r="AR32" s="46">
        <v>0</v>
      </c>
    </row>
    <row r="33" spans="1:44" x14ac:dyDescent="0.35">
      <c r="A33" s="30" t="s">
        <v>197</v>
      </c>
      <c r="B33" s="36" t="s">
        <v>51</v>
      </c>
      <c r="C33" s="43" t="s">
        <v>82</v>
      </c>
      <c r="D33" s="44">
        <f t="shared" si="0"/>
        <v>25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5">
        <v>5</v>
      </c>
      <c r="AH33" s="45">
        <v>5</v>
      </c>
      <c r="AI33" s="45">
        <v>5</v>
      </c>
      <c r="AJ33" s="45">
        <v>5</v>
      </c>
      <c r="AK33" s="45">
        <v>5</v>
      </c>
      <c r="AL33" s="46">
        <v>0</v>
      </c>
      <c r="AM33" s="46">
        <v>0</v>
      </c>
      <c r="AN33" s="46">
        <v>0</v>
      </c>
      <c r="AO33" s="46">
        <v>0</v>
      </c>
      <c r="AP33" s="46">
        <v>0</v>
      </c>
      <c r="AQ33" s="46">
        <v>0</v>
      </c>
      <c r="AR33" s="46">
        <v>0</v>
      </c>
    </row>
    <row r="34" spans="1:44" ht="29.15" customHeight="1" x14ac:dyDescent="0.35">
      <c r="A34" s="30" t="s">
        <v>198</v>
      </c>
      <c r="B34" s="36" t="s">
        <v>51</v>
      </c>
      <c r="C34" s="43" t="s">
        <v>82</v>
      </c>
      <c r="D34" s="44">
        <f t="shared" si="0"/>
        <v>10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46">
        <v>0</v>
      </c>
      <c r="AH34" s="46">
        <v>0</v>
      </c>
      <c r="AI34" s="46">
        <v>0</v>
      </c>
      <c r="AJ34" s="46">
        <v>0</v>
      </c>
      <c r="AK34" s="46">
        <v>0</v>
      </c>
      <c r="AL34" s="45">
        <v>5</v>
      </c>
      <c r="AM34" s="45">
        <v>5</v>
      </c>
      <c r="AN34" s="46">
        <v>0</v>
      </c>
      <c r="AO34" s="46">
        <v>0</v>
      </c>
      <c r="AP34" s="46">
        <v>0</v>
      </c>
      <c r="AQ34" s="46">
        <v>0</v>
      </c>
      <c r="AR34" s="46">
        <v>0</v>
      </c>
    </row>
    <row r="35" spans="1:44" x14ac:dyDescent="0.35">
      <c r="A35" s="30" t="s">
        <v>199</v>
      </c>
      <c r="B35" s="38" t="s">
        <v>53</v>
      </c>
      <c r="C35" s="43" t="s">
        <v>144</v>
      </c>
      <c r="D35" s="44">
        <f t="shared" ref="D35:D66" si="1">SUM(E35:AR35)</f>
        <v>2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46">
        <v>0</v>
      </c>
      <c r="AE35" s="45">
        <v>2</v>
      </c>
      <c r="AF35" s="46">
        <v>0</v>
      </c>
      <c r="AG35" s="46">
        <v>0</v>
      </c>
      <c r="AH35" s="46">
        <v>0</v>
      </c>
      <c r="AI35" s="46">
        <v>0</v>
      </c>
      <c r="AJ35" s="46">
        <v>0</v>
      </c>
      <c r="AK35" s="46">
        <v>0</v>
      </c>
      <c r="AL35" s="46">
        <v>0</v>
      </c>
      <c r="AM35" s="46">
        <v>0</v>
      </c>
      <c r="AN35" s="46">
        <v>0</v>
      </c>
      <c r="AO35" s="46">
        <v>0</v>
      </c>
      <c r="AP35" s="46">
        <v>0</v>
      </c>
      <c r="AQ35" s="46">
        <v>0</v>
      </c>
      <c r="AR35" s="46">
        <v>0</v>
      </c>
    </row>
    <row r="36" spans="1:44" x14ac:dyDescent="0.35">
      <c r="A36" s="30" t="s">
        <v>202</v>
      </c>
      <c r="B36" s="38" t="s">
        <v>53</v>
      </c>
      <c r="C36" s="43" t="s">
        <v>144</v>
      </c>
      <c r="D36" s="44">
        <f t="shared" si="1"/>
        <v>5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45">
        <v>5</v>
      </c>
      <c r="AH36" s="46">
        <v>0</v>
      </c>
      <c r="AI36" s="46">
        <v>0</v>
      </c>
      <c r="AJ36" s="46">
        <v>0</v>
      </c>
      <c r="AK36" s="46">
        <v>0</v>
      </c>
      <c r="AL36" s="46">
        <v>0</v>
      </c>
      <c r="AM36" s="46">
        <v>0</v>
      </c>
      <c r="AN36" s="46">
        <v>0</v>
      </c>
      <c r="AO36" s="46">
        <v>0</v>
      </c>
      <c r="AP36" s="46">
        <v>0</v>
      </c>
      <c r="AQ36" s="46">
        <v>0</v>
      </c>
      <c r="AR36" s="46">
        <v>0</v>
      </c>
    </row>
    <row r="37" spans="1:44" x14ac:dyDescent="0.35">
      <c r="A37" s="30" t="s">
        <v>203</v>
      </c>
      <c r="B37" s="38" t="s">
        <v>53</v>
      </c>
      <c r="C37" s="43" t="s">
        <v>144</v>
      </c>
      <c r="D37" s="44">
        <f t="shared" si="1"/>
        <v>5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46">
        <v>0</v>
      </c>
      <c r="AH37" s="45">
        <v>5</v>
      </c>
      <c r="AI37" s="46">
        <v>0</v>
      </c>
      <c r="AJ37" s="46">
        <v>0</v>
      </c>
      <c r="AK37" s="46">
        <v>0</v>
      </c>
      <c r="AL37" s="46">
        <v>0</v>
      </c>
      <c r="AM37" s="46">
        <v>0</v>
      </c>
      <c r="AN37" s="46">
        <v>0</v>
      </c>
      <c r="AO37" s="46">
        <v>0</v>
      </c>
      <c r="AP37" s="46">
        <v>0</v>
      </c>
      <c r="AQ37" s="46">
        <v>0</v>
      </c>
      <c r="AR37" s="46">
        <v>0</v>
      </c>
    </row>
    <row r="38" spans="1:44" ht="29.15" customHeight="1" x14ac:dyDescent="0.35">
      <c r="A38" s="30" t="s">
        <v>204</v>
      </c>
      <c r="B38" s="38" t="s">
        <v>53</v>
      </c>
      <c r="C38" s="43" t="s">
        <v>144</v>
      </c>
      <c r="D38" s="44">
        <f t="shared" si="1"/>
        <v>2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5">
        <v>2</v>
      </c>
      <c r="AF38" s="46">
        <v>0</v>
      </c>
      <c r="AG38" s="46">
        <v>0</v>
      </c>
      <c r="AH38" s="46">
        <v>0</v>
      </c>
      <c r="AI38" s="46">
        <v>0</v>
      </c>
      <c r="AJ38" s="46">
        <v>0</v>
      </c>
      <c r="AK38" s="46">
        <v>0</v>
      </c>
      <c r="AL38" s="46">
        <v>0</v>
      </c>
      <c r="AM38" s="46">
        <v>0</v>
      </c>
      <c r="AN38" s="46">
        <v>0</v>
      </c>
      <c r="AO38" s="46">
        <v>0</v>
      </c>
      <c r="AP38" s="46">
        <v>0</v>
      </c>
      <c r="AQ38" s="46">
        <v>0</v>
      </c>
      <c r="AR38" s="46">
        <v>0</v>
      </c>
    </row>
    <row r="39" spans="1:44" x14ac:dyDescent="0.35">
      <c r="A39" s="30" t="s">
        <v>205</v>
      </c>
      <c r="B39" s="38" t="s">
        <v>53</v>
      </c>
      <c r="C39" s="43" t="s">
        <v>144</v>
      </c>
      <c r="D39" s="44">
        <f t="shared" si="1"/>
        <v>2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5">
        <v>1</v>
      </c>
      <c r="AF39" s="45">
        <v>1</v>
      </c>
      <c r="AG39" s="46">
        <v>0</v>
      </c>
      <c r="AH39" s="46">
        <v>0</v>
      </c>
      <c r="AI39" s="46">
        <v>0</v>
      </c>
      <c r="AJ39" s="46">
        <v>0</v>
      </c>
      <c r="AK39" s="46"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6">
        <v>0</v>
      </c>
    </row>
    <row r="40" spans="1:44" x14ac:dyDescent="0.35">
      <c r="A40" s="30" t="s">
        <v>206</v>
      </c>
      <c r="B40" s="38" t="s">
        <v>53</v>
      </c>
      <c r="C40" s="43" t="s">
        <v>144</v>
      </c>
      <c r="D40" s="44">
        <f t="shared" si="1"/>
        <v>2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5">
        <v>2</v>
      </c>
      <c r="AG40" s="46">
        <v>0</v>
      </c>
      <c r="AH40" s="46">
        <v>0</v>
      </c>
      <c r="AI40" s="46">
        <v>0</v>
      </c>
      <c r="AJ40" s="46">
        <v>0</v>
      </c>
      <c r="AK40" s="46">
        <v>0</v>
      </c>
      <c r="AL40" s="46">
        <v>0</v>
      </c>
      <c r="AM40" s="46">
        <v>0</v>
      </c>
      <c r="AN40" s="46">
        <v>0</v>
      </c>
      <c r="AO40" s="46">
        <v>0</v>
      </c>
      <c r="AP40" s="46">
        <v>0</v>
      </c>
      <c r="AQ40" s="46">
        <v>0</v>
      </c>
      <c r="AR40" s="46">
        <v>0</v>
      </c>
    </row>
    <row r="41" spans="1:44" x14ac:dyDescent="0.35">
      <c r="A41" s="30" t="s">
        <v>207</v>
      </c>
      <c r="B41" s="38" t="s">
        <v>53</v>
      </c>
      <c r="C41" s="43" t="s">
        <v>144</v>
      </c>
      <c r="D41" s="44">
        <f t="shared" si="1"/>
        <v>2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5">
        <v>2</v>
      </c>
      <c r="AG41" s="46">
        <v>0</v>
      </c>
      <c r="AH41" s="46">
        <v>0</v>
      </c>
      <c r="AI41" s="46">
        <v>0</v>
      </c>
      <c r="AJ41" s="46">
        <v>0</v>
      </c>
      <c r="AK41" s="46">
        <v>0</v>
      </c>
      <c r="AL41" s="46">
        <v>0</v>
      </c>
      <c r="AM41" s="46">
        <v>0</v>
      </c>
      <c r="AN41" s="46">
        <v>0</v>
      </c>
      <c r="AO41" s="46">
        <v>0</v>
      </c>
      <c r="AP41" s="46">
        <v>0</v>
      </c>
      <c r="AQ41" s="46">
        <v>0</v>
      </c>
      <c r="AR41" s="46">
        <v>0</v>
      </c>
    </row>
    <row r="42" spans="1:44" ht="29.15" customHeight="1" x14ac:dyDescent="0.35">
      <c r="A42" s="30" t="s">
        <v>208</v>
      </c>
      <c r="B42" s="38" t="s">
        <v>53</v>
      </c>
      <c r="C42" s="43" t="s">
        <v>144</v>
      </c>
      <c r="D42" s="44">
        <f t="shared" si="1"/>
        <v>2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0</v>
      </c>
      <c r="AH42" s="46">
        <v>0</v>
      </c>
      <c r="AI42" s="45">
        <v>2</v>
      </c>
      <c r="AJ42" s="46">
        <v>0</v>
      </c>
      <c r="AK42" s="46">
        <v>0</v>
      </c>
      <c r="AL42" s="46">
        <v>0</v>
      </c>
      <c r="AM42" s="46">
        <v>0</v>
      </c>
      <c r="AN42" s="46">
        <v>0</v>
      </c>
      <c r="AO42" s="46">
        <v>0</v>
      </c>
      <c r="AP42" s="46">
        <v>0</v>
      </c>
      <c r="AQ42" s="46">
        <v>0</v>
      </c>
      <c r="AR42" s="46">
        <v>0</v>
      </c>
    </row>
    <row r="43" spans="1:44" ht="29.15" customHeight="1" x14ac:dyDescent="0.35">
      <c r="A43" s="30" t="s">
        <v>209</v>
      </c>
      <c r="B43" s="39" t="s">
        <v>54</v>
      </c>
      <c r="C43" s="43" t="s">
        <v>144</v>
      </c>
      <c r="D43" s="44">
        <f t="shared" si="1"/>
        <v>2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6">
        <v>0</v>
      </c>
      <c r="AL43" s="47">
        <v>2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</row>
    <row r="44" spans="1:44" x14ac:dyDescent="0.35">
      <c r="A44" s="30" t="s">
        <v>212</v>
      </c>
      <c r="B44" s="39" t="s">
        <v>54</v>
      </c>
      <c r="C44" s="43" t="s">
        <v>144</v>
      </c>
      <c r="D44" s="44">
        <f t="shared" si="1"/>
        <v>5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46">
        <v>0</v>
      </c>
      <c r="AH44" s="46">
        <v>0</v>
      </c>
      <c r="AI44" s="46">
        <v>0</v>
      </c>
      <c r="AJ44" s="46">
        <v>0</v>
      </c>
      <c r="AK44" s="46">
        <v>0</v>
      </c>
      <c r="AL44" s="46">
        <v>0</v>
      </c>
      <c r="AM44" s="46">
        <v>0</v>
      </c>
      <c r="AN44" s="47">
        <v>3</v>
      </c>
      <c r="AO44" s="47">
        <v>2</v>
      </c>
      <c r="AP44" s="46">
        <v>0</v>
      </c>
      <c r="AQ44" s="46">
        <v>0</v>
      </c>
      <c r="AR44" s="46">
        <v>0</v>
      </c>
    </row>
    <row r="45" spans="1:44" ht="29.15" customHeight="1" x14ac:dyDescent="0.35">
      <c r="A45" s="30"/>
      <c r="B45" s="49" t="s">
        <v>213</v>
      </c>
      <c r="C45" s="43" t="s">
        <v>144</v>
      </c>
      <c r="D45" s="44">
        <f t="shared" si="1"/>
        <v>4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/>
      <c r="AK45" s="46"/>
      <c r="AL45" s="46"/>
      <c r="AM45" s="46"/>
      <c r="AN45" s="47">
        <v>2</v>
      </c>
      <c r="AO45" s="47">
        <v>2</v>
      </c>
      <c r="AP45" s="46"/>
      <c r="AQ45" s="46"/>
      <c r="AR45" s="46"/>
    </row>
    <row r="46" spans="1:44" x14ac:dyDescent="0.35">
      <c r="A46" s="30" t="s">
        <v>214</v>
      </c>
      <c r="B46" s="39" t="s">
        <v>54</v>
      </c>
      <c r="C46" s="43" t="s">
        <v>144</v>
      </c>
      <c r="D46" s="44">
        <f t="shared" si="1"/>
        <v>5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46">
        <v>0</v>
      </c>
      <c r="AH46" s="46">
        <v>0</v>
      </c>
      <c r="AI46" s="46">
        <v>0</v>
      </c>
      <c r="AJ46" s="46">
        <v>0</v>
      </c>
      <c r="AK46" s="46">
        <v>0</v>
      </c>
      <c r="AL46" s="46">
        <v>0</v>
      </c>
      <c r="AM46" s="46">
        <v>0</v>
      </c>
      <c r="AN46" s="110">
        <v>3</v>
      </c>
      <c r="AO46" s="110">
        <v>2</v>
      </c>
      <c r="AP46" s="46">
        <v>0</v>
      </c>
      <c r="AQ46" s="46">
        <v>0</v>
      </c>
      <c r="AR46" s="46">
        <v>0</v>
      </c>
    </row>
    <row r="47" spans="1:44" ht="29.15" customHeight="1" x14ac:dyDescent="0.35">
      <c r="A47" s="30"/>
      <c r="B47" s="49" t="s">
        <v>191</v>
      </c>
      <c r="C47" s="43" t="s">
        <v>144</v>
      </c>
      <c r="D47" s="44">
        <f t="shared" si="1"/>
        <v>4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6">
        <v>0</v>
      </c>
      <c r="AL47" s="46">
        <v>0</v>
      </c>
      <c r="AM47" s="46"/>
      <c r="AN47" s="110">
        <v>2</v>
      </c>
      <c r="AO47" s="110">
        <v>2</v>
      </c>
      <c r="AP47" s="46"/>
      <c r="AQ47" s="46"/>
      <c r="AR47" s="46"/>
    </row>
    <row r="48" spans="1:44" ht="29.15" customHeight="1" x14ac:dyDescent="0.35">
      <c r="A48" s="30" t="s">
        <v>215</v>
      </c>
      <c r="B48" s="39" t="s">
        <v>54</v>
      </c>
      <c r="C48" s="43" t="s">
        <v>144</v>
      </c>
      <c r="D48" s="44">
        <f t="shared" si="1"/>
        <v>2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47">
        <v>2</v>
      </c>
      <c r="AM48" s="46">
        <v>0</v>
      </c>
      <c r="AN48" s="46">
        <v>0</v>
      </c>
      <c r="AO48" s="46">
        <v>0</v>
      </c>
      <c r="AP48" s="46">
        <v>0</v>
      </c>
      <c r="AQ48" s="46">
        <v>0</v>
      </c>
      <c r="AR48" s="46">
        <v>0</v>
      </c>
    </row>
    <row r="49" spans="1:44" x14ac:dyDescent="0.35">
      <c r="A49" s="30" t="s">
        <v>216</v>
      </c>
      <c r="B49" s="39" t="s">
        <v>54</v>
      </c>
      <c r="C49" s="43" t="s">
        <v>144</v>
      </c>
      <c r="D49" s="44">
        <f t="shared" si="1"/>
        <v>2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7">
        <v>1</v>
      </c>
      <c r="AM49" s="47">
        <v>1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</row>
    <row r="50" spans="1:44" x14ac:dyDescent="0.35">
      <c r="A50" s="30" t="s">
        <v>217</v>
      </c>
      <c r="B50" s="39" t="s">
        <v>54</v>
      </c>
      <c r="C50" s="43" t="s">
        <v>144</v>
      </c>
      <c r="D50" s="44">
        <f t="shared" si="1"/>
        <v>2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46">
        <v>0</v>
      </c>
      <c r="AH50" s="46">
        <v>0</v>
      </c>
      <c r="AI50" s="46">
        <v>0</v>
      </c>
      <c r="AJ50" s="46">
        <v>0</v>
      </c>
      <c r="AK50" s="46">
        <v>0</v>
      </c>
      <c r="AL50" s="46">
        <v>0</v>
      </c>
      <c r="AM50" s="47">
        <v>2</v>
      </c>
      <c r="AN50" s="46">
        <v>0</v>
      </c>
      <c r="AO50" s="46">
        <v>0</v>
      </c>
      <c r="AP50" s="46">
        <v>0</v>
      </c>
      <c r="AQ50" s="46">
        <v>0</v>
      </c>
      <c r="AR50" s="46">
        <v>0</v>
      </c>
    </row>
    <row r="51" spans="1:44" x14ac:dyDescent="0.35">
      <c r="A51" s="30" t="s">
        <v>218</v>
      </c>
      <c r="B51" s="39" t="s">
        <v>54</v>
      </c>
      <c r="C51" s="43" t="s">
        <v>144</v>
      </c>
      <c r="D51" s="44">
        <f t="shared" si="1"/>
        <v>2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6">
        <v>0</v>
      </c>
      <c r="AL51" s="46">
        <v>0</v>
      </c>
      <c r="AM51" s="47">
        <v>2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</row>
    <row r="52" spans="1:44" ht="29.15" customHeight="1" x14ac:dyDescent="0.35">
      <c r="A52" s="30" t="s">
        <v>219</v>
      </c>
      <c r="B52" s="39" t="s">
        <v>54</v>
      </c>
      <c r="C52" s="43" t="s">
        <v>175</v>
      </c>
      <c r="D52" s="44">
        <f t="shared" si="1"/>
        <v>2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46">
        <v>0</v>
      </c>
      <c r="U52" s="46">
        <v>0</v>
      </c>
      <c r="V52" s="46">
        <v>0</v>
      </c>
      <c r="W52" s="46">
        <v>0</v>
      </c>
      <c r="X52" s="46">
        <v>0</v>
      </c>
      <c r="Y52" s="46">
        <v>0</v>
      </c>
      <c r="Z52" s="46">
        <v>0</v>
      </c>
      <c r="AA52" s="46">
        <v>0</v>
      </c>
      <c r="AB52" s="46">
        <v>0</v>
      </c>
      <c r="AC52" s="46">
        <v>0</v>
      </c>
      <c r="AD52" s="46">
        <v>0</v>
      </c>
      <c r="AE52" s="46">
        <v>0</v>
      </c>
      <c r="AF52" s="46">
        <v>0</v>
      </c>
      <c r="AG52" s="46">
        <v>0</v>
      </c>
      <c r="AH52" s="46">
        <v>0</v>
      </c>
      <c r="AI52" s="46">
        <v>0</v>
      </c>
      <c r="AJ52" s="46">
        <v>0</v>
      </c>
      <c r="AK52" s="46">
        <v>0</v>
      </c>
      <c r="AL52" s="46">
        <v>0</v>
      </c>
      <c r="AM52" s="46">
        <v>0</v>
      </c>
      <c r="AN52" s="46">
        <v>0</v>
      </c>
      <c r="AO52" s="47">
        <v>2</v>
      </c>
      <c r="AP52" s="46">
        <v>0</v>
      </c>
      <c r="AQ52" s="46">
        <v>0</v>
      </c>
      <c r="AR52" s="46">
        <v>0</v>
      </c>
    </row>
    <row r="53" spans="1:44" x14ac:dyDescent="0.35">
      <c r="A53" s="30"/>
      <c r="B53" s="39" t="s">
        <v>55</v>
      </c>
      <c r="C53" s="43" t="s">
        <v>144</v>
      </c>
      <c r="D53" s="44">
        <f t="shared" si="1"/>
        <v>4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6">
        <v>0</v>
      </c>
      <c r="AL53" s="46">
        <v>0</v>
      </c>
      <c r="AM53" s="46">
        <v>0</v>
      </c>
      <c r="AN53" s="46">
        <v>0</v>
      </c>
      <c r="AO53" s="46">
        <v>0</v>
      </c>
      <c r="AP53" s="47">
        <v>4</v>
      </c>
      <c r="AQ53" s="46">
        <v>0</v>
      </c>
      <c r="AR53" s="46">
        <v>0</v>
      </c>
    </row>
    <row r="54" spans="1:44" x14ac:dyDescent="0.35">
      <c r="A54" s="30" t="s">
        <v>221</v>
      </c>
      <c r="B54" s="41" t="s">
        <v>56</v>
      </c>
      <c r="C54" s="43" t="s">
        <v>81</v>
      </c>
      <c r="D54" s="44">
        <f t="shared" si="1"/>
        <v>2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46">
        <v>0</v>
      </c>
      <c r="AH54" s="46">
        <v>0</v>
      </c>
      <c r="AI54" s="46">
        <v>0</v>
      </c>
      <c r="AJ54" s="46">
        <v>0</v>
      </c>
      <c r="AK54" s="46">
        <v>0</v>
      </c>
      <c r="AL54" s="46">
        <v>0</v>
      </c>
      <c r="AM54" s="46">
        <v>0</v>
      </c>
      <c r="AN54" s="46">
        <v>0</v>
      </c>
      <c r="AO54" s="46">
        <v>0</v>
      </c>
      <c r="AP54" s="46">
        <v>0</v>
      </c>
      <c r="AQ54" s="47">
        <v>2</v>
      </c>
      <c r="AR54" s="46">
        <v>0</v>
      </c>
    </row>
    <row r="55" spans="1:44" x14ac:dyDescent="0.35">
      <c r="A55" s="30" t="s">
        <v>224</v>
      </c>
      <c r="B55" s="41" t="s">
        <v>56</v>
      </c>
      <c r="C55" s="43" t="s">
        <v>175</v>
      </c>
      <c r="D55" s="44">
        <f t="shared" si="1"/>
        <v>5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7">
        <v>3</v>
      </c>
      <c r="AR55" s="47">
        <v>2</v>
      </c>
    </row>
    <row r="56" spans="1:44" ht="29.15" customHeight="1" x14ac:dyDescent="0.35">
      <c r="A56" s="30"/>
      <c r="B56" s="49" t="s">
        <v>225</v>
      </c>
      <c r="C56" s="43" t="s">
        <v>175</v>
      </c>
      <c r="D56" s="44">
        <f t="shared" si="1"/>
        <v>4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v>0</v>
      </c>
      <c r="Q56" s="46">
        <v>0</v>
      </c>
      <c r="R56" s="46">
        <v>0</v>
      </c>
      <c r="S56" s="46">
        <v>0</v>
      </c>
      <c r="T56" s="46">
        <v>0</v>
      </c>
      <c r="U56" s="46">
        <v>0</v>
      </c>
      <c r="V56" s="46">
        <v>0</v>
      </c>
      <c r="W56" s="46">
        <v>0</v>
      </c>
      <c r="X56" s="46">
        <v>0</v>
      </c>
      <c r="Y56" s="46">
        <v>0</v>
      </c>
      <c r="Z56" s="46">
        <v>0</v>
      </c>
      <c r="AA56" s="46">
        <v>0</v>
      </c>
      <c r="AB56" s="46">
        <v>0</v>
      </c>
      <c r="AC56" s="46">
        <v>0</v>
      </c>
      <c r="AD56" s="46">
        <v>0</v>
      </c>
      <c r="AE56" s="46">
        <v>0</v>
      </c>
      <c r="AF56" s="46">
        <v>0</v>
      </c>
      <c r="AG56" s="46">
        <v>0</v>
      </c>
      <c r="AH56" s="46">
        <v>0</v>
      </c>
      <c r="AI56" s="46">
        <v>0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0</v>
      </c>
      <c r="AP56" s="46">
        <v>0</v>
      </c>
      <c r="AQ56" s="47">
        <v>2</v>
      </c>
      <c r="AR56" s="47">
        <v>2</v>
      </c>
    </row>
    <row r="57" spans="1:44" x14ac:dyDescent="0.35">
      <c r="A57" s="30" t="s">
        <v>226</v>
      </c>
      <c r="B57" s="41" t="s">
        <v>56</v>
      </c>
      <c r="C57" s="43" t="s">
        <v>144</v>
      </c>
      <c r="D57" s="44">
        <f t="shared" si="1"/>
        <v>5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6">
        <v>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7">
        <v>3</v>
      </c>
      <c r="AR57" s="47">
        <v>2</v>
      </c>
    </row>
    <row r="58" spans="1:44" ht="29.15" customHeight="1" x14ac:dyDescent="0.35">
      <c r="A58" s="30"/>
      <c r="B58" s="49" t="s">
        <v>225</v>
      </c>
      <c r="C58" s="43" t="s">
        <v>144</v>
      </c>
      <c r="D58" s="44">
        <f t="shared" si="1"/>
        <v>4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46">
        <v>0</v>
      </c>
      <c r="AH58" s="46">
        <v>0</v>
      </c>
      <c r="AI58" s="46">
        <v>0</v>
      </c>
      <c r="AJ58" s="46">
        <v>0</v>
      </c>
      <c r="AK58" s="46">
        <v>0</v>
      </c>
      <c r="AL58" s="46">
        <v>0</v>
      </c>
      <c r="AM58" s="46">
        <v>0</v>
      </c>
      <c r="AN58" s="46">
        <v>0</v>
      </c>
      <c r="AO58" s="46">
        <v>0</v>
      </c>
      <c r="AP58" s="46">
        <v>0</v>
      </c>
      <c r="AQ58" s="47">
        <v>2</v>
      </c>
      <c r="AR58" s="47">
        <v>2</v>
      </c>
    </row>
    <row r="59" spans="1:44" ht="29.15" customHeight="1" x14ac:dyDescent="0.35">
      <c r="A59" s="30" t="s">
        <v>227</v>
      </c>
      <c r="B59" s="41" t="s">
        <v>56</v>
      </c>
      <c r="C59" s="43" t="s">
        <v>81</v>
      </c>
      <c r="D59" s="44">
        <f t="shared" si="1"/>
        <v>2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6"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7">
        <v>2</v>
      </c>
      <c r="AR59" s="46">
        <v>0</v>
      </c>
    </row>
    <row r="60" spans="1:44" x14ac:dyDescent="0.35">
      <c r="A60" s="30" t="s">
        <v>228</v>
      </c>
      <c r="B60" s="41" t="s">
        <v>56</v>
      </c>
      <c r="C60" s="43" t="s">
        <v>81</v>
      </c>
      <c r="D60" s="44">
        <f t="shared" si="1"/>
        <v>2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46">
        <v>0</v>
      </c>
      <c r="Q60" s="46">
        <v>0</v>
      </c>
      <c r="R60" s="46">
        <v>0</v>
      </c>
      <c r="S60" s="46">
        <v>0</v>
      </c>
      <c r="T60" s="46">
        <v>0</v>
      </c>
      <c r="U60" s="46">
        <v>0</v>
      </c>
      <c r="V60" s="46">
        <v>0</v>
      </c>
      <c r="W60" s="46">
        <v>0</v>
      </c>
      <c r="X60" s="46">
        <v>0</v>
      </c>
      <c r="Y60" s="46">
        <v>0</v>
      </c>
      <c r="Z60" s="46">
        <v>0</v>
      </c>
      <c r="AA60" s="46">
        <v>0</v>
      </c>
      <c r="AB60" s="46">
        <v>0</v>
      </c>
      <c r="AC60" s="46">
        <v>0</v>
      </c>
      <c r="AD60" s="46">
        <v>0</v>
      </c>
      <c r="AE60" s="46">
        <v>0</v>
      </c>
      <c r="AF60" s="46">
        <v>0</v>
      </c>
      <c r="AG60" s="46">
        <v>0</v>
      </c>
      <c r="AH60" s="46">
        <v>0</v>
      </c>
      <c r="AI60" s="46">
        <v>0</v>
      </c>
      <c r="AJ60" s="46">
        <v>0</v>
      </c>
      <c r="AK60" s="46">
        <v>0</v>
      </c>
      <c r="AL60" s="46">
        <v>0</v>
      </c>
      <c r="AM60" s="46">
        <v>0</v>
      </c>
      <c r="AN60" s="46">
        <v>0</v>
      </c>
      <c r="AO60" s="46">
        <v>0</v>
      </c>
      <c r="AP60" s="46">
        <v>0</v>
      </c>
      <c r="AQ60" s="46">
        <v>0</v>
      </c>
      <c r="AR60" s="47">
        <v>2</v>
      </c>
    </row>
    <row r="61" spans="1:44" x14ac:dyDescent="0.35">
      <c r="A61" s="30" t="s">
        <v>229</v>
      </c>
      <c r="B61" s="41" t="s">
        <v>56</v>
      </c>
      <c r="C61" s="43" t="s">
        <v>81</v>
      </c>
      <c r="D61" s="44">
        <f t="shared" si="1"/>
        <v>2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6">
        <v>0</v>
      </c>
      <c r="Q61" s="46">
        <v>0</v>
      </c>
      <c r="R61" s="46">
        <v>0</v>
      </c>
      <c r="S61" s="46">
        <v>0</v>
      </c>
      <c r="T61" s="46">
        <v>0</v>
      </c>
      <c r="U61" s="46">
        <v>0</v>
      </c>
      <c r="V61" s="46">
        <v>0</v>
      </c>
      <c r="W61" s="46">
        <v>0</v>
      </c>
      <c r="X61" s="46">
        <v>0</v>
      </c>
      <c r="Y61" s="46">
        <v>0</v>
      </c>
      <c r="Z61" s="46">
        <v>0</v>
      </c>
      <c r="AA61" s="46">
        <v>0</v>
      </c>
      <c r="AB61" s="46">
        <v>0</v>
      </c>
      <c r="AC61" s="46">
        <v>0</v>
      </c>
      <c r="AD61" s="46">
        <v>0</v>
      </c>
      <c r="AE61" s="46">
        <v>0</v>
      </c>
      <c r="AF61" s="46">
        <v>0</v>
      </c>
      <c r="AG61" s="46">
        <v>0</v>
      </c>
      <c r="AH61" s="46">
        <v>0</v>
      </c>
      <c r="AI61" s="46">
        <v>0</v>
      </c>
      <c r="AJ61" s="46">
        <v>0</v>
      </c>
      <c r="AK61" s="46">
        <v>0</v>
      </c>
      <c r="AL61" s="46">
        <v>0</v>
      </c>
      <c r="AM61" s="46">
        <v>0</v>
      </c>
      <c r="AN61" s="46">
        <v>0</v>
      </c>
      <c r="AO61" s="46">
        <v>0</v>
      </c>
      <c r="AP61" s="46">
        <v>0</v>
      </c>
      <c r="AQ61" s="46">
        <v>0</v>
      </c>
      <c r="AR61" s="47">
        <v>2</v>
      </c>
    </row>
    <row r="62" spans="1:44" x14ac:dyDescent="0.35">
      <c r="A62" s="30" t="s">
        <v>230</v>
      </c>
      <c r="B62" s="41" t="s">
        <v>56</v>
      </c>
      <c r="C62" s="43" t="s">
        <v>81</v>
      </c>
      <c r="D62" s="44">
        <f t="shared" si="1"/>
        <v>2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  <c r="Q62" s="46">
        <v>0</v>
      </c>
      <c r="R62" s="46">
        <v>0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46">
        <v>0</v>
      </c>
      <c r="Y62" s="46">
        <v>0</v>
      </c>
      <c r="Z62" s="46">
        <v>0</v>
      </c>
      <c r="AA62" s="46">
        <v>0</v>
      </c>
      <c r="AB62" s="46">
        <v>0</v>
      </c>
      <c r="AC62" s="46">
        <v>0</v>
      </c>
      <c r="AD62" s="46">
        <v>0</v>
      </c>
      <c r="AE62" s="46">
        <v>0</v>
      </c>
      <c r="AF62" s="46">
        <v>0</v>
      </c>
      <c r="AG62" s="46">
        <v>0</v>
      </c>
      <c r="AH62" s="46">
        <v>0</v>
      </c>
      <c r="AI62" s="46">
        <v>0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0</v>
      </c>
      <c r="AP62" s="46">
        <v>0</v>
      </c>
      <c r="AQ62" s="47">
        <v>1</v>
      </c>
      <c r="AR62" s="47">
        <v>1</v>
      </c>
    </row>
    <row r="63" spans="1:44" x14ac:dyDescent="0.35">
      <c r="A63" s="30" t="s">
        <v>231</v>
      </c>
      <c r="B63" s="41" t="s">
        <v>56</v>
      </c>
      <c r="C63" s="43" t="s">
        <v>81</v>
      </c>
      <c r="D63" s="44">
        <f t="shared" si="1"/>
        <v>2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6">
        <v>0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6">
        <v>0</v>
      </c>
      <c r="AK63" s="46">
        <v>0</v>
      </c>
      <c r="AL63" s="46">
        <v>0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  <c r="AR63" s="110">
        <v>2</v>
      </c>
    </row>
    <row r="64" spans="1:44" x14ac:dyDescent="0.35">
      <c r="B64" s="50" t="s">
        <v>232</v>
      </c>
      <c r="C64" s="1" t="s">
        <v>233</v>
      </c>
      <c r="D64" s="44">
        <f t="shared" si="1"/>
        <v>125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7">
        <v>5</v>
      </c>
      <c r="U64" s="47">
        <v>5</v>
      </c>
      <c r="V64" s="47">
        <v>5</v>
      </c>
      <c r="W64" s="47">
        <v>5</v>
      </c>
      <c r="X64" s="47">
        <v>5</v>
      </c>
      <c r="Y64" s="47">
        <v>5</v>
      </c>
      <c r="Z64" s="47">
        <v>5</v>
      </c>
      <c r="AA64" s="47">
        <v>5</v>
      </c>
      <c r="AB64" s="47">
        <v>5</v>
      </c>
      <c r="AC64" s="47">
        <v>5</v>
      </c>
      <c r="AD64" s="47">
        <v>5</v>
      </c>
      <c r="AE64" s="47">
        <v>5</v>
      </c>
      <c r="AF64" s="47">
        <v>5</v>
      </c>
      <c r="AG64" s="47">
        <v>5</v>
      </c>
      <c r="AH64" s="47">
        <v>5</v>
      </c>
      <c r="AI64" s="47">
        <v>5</v>
      </c>
      <c r="AJ64" s="47">
        <v>5</v>
      </c>
      <c r="AK64" s="47">
        <v>5</v>
      </c>
      <c r="AL64" s="47">
        <v>5</v>
      </c>
      <c r="AM64" s="47">
        <v>5</v>
      </c>
      <c r="AN64" s="47">
        <v>5</v>
      </c>
      <c r="AO64" s="47">
        <v>5</v>
      </c>
      <c r="AP64" s="47">
        <v>5</v>
      </c>
      <c r="AQ64" s="47">
        <v>5</v>
      </c>
      <c r="AR64" s="47">
        <v>5</v>
      </c>
    </row>
    <row r="65" spans="2:44" x14ac:dyDescent="0.35">
      <c r="B65" s="50" t="s">
        <v>236</v>
      </c>
      <c r="C65" s="1" t="s">
        <v>233</v>
      </c>
      <c r="D65" s="44">
        <f t="shared" si="1"/>
        <v>125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  <c r="T65" s="47">
        <v>5</v>
      </c>
      <c r="U65" s="47">
        <v>5</v>
      </c>
      <c r="V65" s="47">
        <v>5</v>
      </c>
      <c r="W65" s="47">
        <v>5</v>
      </c>
      <c r="X65" s="47">
        <v>5</v>
      </c>
      <c r="Y65" s="47">
        <v>5</v>
      </c>
      <c r="Z65" s="47">
        <v>5</v>
      </c>
      <c r="AA65" s="47">
        <v>5</v>
      </c>
      <c r="AB65" s="47">
        <v>5</v>
      </c>
      <c r="AC65" s="47">
        <v>5</v>
      </c>
      <c r="AD65" s="47">
        <v>5</v>
      </c>
      <c r="AE65" s="47">
        <v>5</v>
      </c>
      <c r="AF65" s="47">
        <v>5</v>
      </c>
      <c r="AG65" s="47">
        <v>5</v>
      </c>
      <c r="AH65" s="47">
        <v>5</v>
      </c>
      <c r="AI65" s="47">
        <v>5</v>
      </c>
      <c r="AJ65" s="47">
        <v>5</v>
      </c>
      <c r="AK65" s="47">
        <v>5</v>
      </c>
      <c r="AL65" s="47">
        <v>5</v>
      </c>
      <c r="AM65" s="47">
        <v>5</v>
      </c>
      <c r="AN65" s="47">
        <v>5</v>
      </c>
      <c r="AO65" s="47">
        <v>5</v>
      </c>
      <c r="AP65" s="47">
        <v>5</v>
      </c>
      <c r="AQ65" s="47">
        <v>5</v>
      </c>
      <c r="AR65" s="47">
        <v>5</v>
      </c>
    </row>
    <row r="66" spans="2:44" x14ac:dyDescent="0.35">
      <c r="D66" s="51">
        <f>SUM(D3:D65)</f>
        <v>745</v>
      </c>
    </row>
  </sheetData>
  <mergeCells count="1">
    <mergeCell ref="A1:C1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"/>
  <sheetViews>
    <sheetView showGridLines="0" tabSelected="1" workbookViewId="0">
      <selection activeCell="F13" sqref="F13"/>
    </sheetView>
  </sheetViews>
  <sheetFormatPr defaultRowHeight="14.5" x14ac:dyDescent="0.35"/>
  <cols>
    <col min="1" max="1" width="37" customWidth="1"/>
    <col min="2" max="2" width="32.81640625" customWidth="1"/>
    <col min="3" max="3" width="35" customWidth="1"/>
    <col min="4" max="5" width="10" customWidth="1"/>
    <col min="6" max="7" width="14" customWidth="1"/>
    <col min="8" max="8" width="10" customWidth="1"/>
    <col min="9" max="9" width="21.08984375" customWidth="1"/>
    <col min="10" max="10" width="17.7265625" customWidth="1"/>
    <col min="11" max="11" width="20.36328125" customWidth="1"/>
    <col min="12" max="13" width="16" customWidth="1"/>
    <col min="14" max="15" width="18" customWidth="1"/>
    <col min="16" max="16" width="20" customWidth="1"/>
    <col min="17" max="17" width="18" customWidth="1"/>
    <col min="18" max="19" width="16" customWidth="1"/>
    <col min="20" max="21" width="18" customWidth="1"/>
    <col min="22" max="22" width="20" customWidth="1"/>
    <col min="23" max="23" width="18" customWidth="1"/>
    <col min="24" max="24" width="14" customWidth="1"/>
    <col min="25" max="29" width="18" customWidth="1"/>
    <col min="30" max="30" width="16" customWidth="1"/>
  </cols>
  <sheetData>
    <row r="1" spans="1:30" ht="28" customHeight="1" x14ac:dyDescent="0.35">
      <c r="A1" s="128" t="s">
        <v>99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</row>
    <row r="2" spans="1:30" ht="24" customHeight="1" x14ac:dyDescent="0.35">
      <c r="A2" s="127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</row>
    <row r="4" spans="1:30" ht="48" customHeight="1" x14ac:dyDescent="0.35">
      <c r="A4" s="95" t="s">
        <v>107</v>
      </c>
      <c r="B4" s="95" t="s">
        <v>108</v>
      </c>
      <c r="C4" s="95" t="s">
        <v>109</v>
      </c>
      <c r="D4" s="95" t="s">
        <v>39</v>
      </c>
      <c r="E4" s="95" t="s">
        <v>40</v>
      </c>
      <c r="F4" s="95" t="s">
        <v>41</v>
      </c>
      <c r="G4" s="95" t="s">
        <v>42</v>
      </c>
      <c r="H4" s="95" t="s">
        <v>114</v>
      </c>
      <c r="I4" s="95" t="s">
        <v>115</v>
      </c>
      <c r="J4" s="95" t="s">
        <v>116</v>
      </c>
      <c r="K4" s="95" t="s">
        <v>117</v>
      </c>
    </row>
    <row r="5" spans="1:30" x14ac:dyDescent="0.35">
      <c r="A5" s="77" t="s">
        <v>118</v>
      </c>
      <c r="B5" s="94" t="s">
        <v>44</v>
      </c>
      <c r="C5" s="77" t="s">
        <v>44</v>
      </c>
      <c r="D5" s="77">
        <v>1</v>
      </c>
      <c r="E5" s="77">
        <v>2</v>
      </c>
      <c r="F5" s="78">
        <v>46281</v>
      </c>
      <c r="G5" s="78">
        <v>46285</v>
      </c>
      <c r="H5" s="135">
        <v>0.1</v>
      </c>
      <c r="I5" s="181">
        <f>Estimation!P61*H5</f>
        <v>13578.95</v>
      </c>
      <c r="J5" s="181">
        <f>Estimation!P62*H5</f>
        <v>10075.450000000001</v>
      </c>
      <c r="K5" s="79" t="s">
        <v>119</v>
      </c>
    </row>
    <row r="6" spans="1:30" ht="29" x14ac:dyDescent="0.35">
      <c r="A6" s="77" t="s">
        <v>120</v>
      </c>
      <c r="B6" s="96" t="s">
        <v>121</v>
      </c>
      <c r="C6" s="77" t="s">
        <v>49</v>
      </c>
      <c r="D6" s="77">
        <v>12</v>
      </c>
      <c r="E6" s="77">
        <v>17</v>
      </c>
      <c r="F6" s="78">
        <v>46358</v>
      </c>
      <c r="G6" s="78">
        <v>46397</v>
      </c>
      <c r="H6" s="135">
        <v>0.3</v>
      </c>
      <c r="I6" s="181">
        <f>H6*Estimation!P61</f>
        <v>40736.85</v>
      </c>
      <c r="J6" s="181">
        <f>H6*Estimation!P62</f>
        <v>30226.35</v>
      </c>
      <c r="K6" s="79" t="s">
        <v>119</v>
      </c>
    </row>
    <row r="7" spans="1:30" x14ac:dyDescent="0.35">
      <c r="A7" s="77" t="s">
        <v>122</v>
      </c>
      <c r="B7" s="97" t="s">
        <v>50</v>
      </c>
      <c r="C7" s="77" t="s">
        <v>50</v>
      </c>
      <c r="D7" s="77">
        <v>18</v>
      </c>
      <c r="E7" s="77">
        <v>25</v>
      </c>
      <c r="F7" s="78">
        <v>46400</v>
      </c>
      <c r="G7" s="78">
        <v>46453</v>
      </c>
      <c r="H7" s="135">
        <v>0.2</v>
      </c>
      <c r="I7" s="181">
        <f>H7*Estimation!P61</f>
        <v>27157.9</v>
      </c>
      <c r="J7" s="181">
        <f>H7*Estimation!P62</f>
        <v>20150.900000000001</v>
      </c>
      <c r="K7" s="79" t="s">
        <v>119</v>
      </c>
    </row>
    <row r="8" spans="1:30" x14ac:dyDescent="0.35">
      <c r="A8" s="77" t="s">
        <v>123</v>
      </c>
      <c r="B8" s="98" t="s">
        <v>344</v>
      </c>
      <c r="C8" s="77" t="s">
        <v>51</v>
      </c>
      <c r="D8" s="77">
        <v>16</v>
      </c>
      <c r="E8" s="77">
        <v>40</v>
      </c>
      <c r="F8" s="78">
        <v>46386</v>
      </c>
      <c r="G8" s="78">
        <v>46558</v>
      </c>
      <c r="H8" s="135">
        <v>0.2</v>
      </c>
      <c r="I8" s="181">
        <f>H8*Estimation!P61</f>
        <v>27157.9</v>
      </c>
      <c r="J8" s="181">
        <f>H8*Estimation!P62</f>
        <v>20150.900000000001</v>
      </c>
      <c r="K8" s="79" t="s">
        <v>119</v>
      </c>
    </row>
    <row r="9" spans="1:30" x14ac:dyDescent="0.35">
      <c r="A9" s="77" t="s">
        <v>124</v>
      </c>
      <c r="B9" s="99" t="s">
        <v>345</v>
      </c>
      <c r="C9" s="77" t="s">
        <v>345</v>
      </c>
      <c r="D9" s="77">
        <v>27</v>
      </c>
      <c r="E9" s="77">
        <v>38</v>
      </c>
      <c r="F9" s="78">
        <v>46463</v>
      </c>
      <c r="G9" s="78">
        <v>46544</v>
      </c>
      <c r="H9" s="135">
        <v>0.1</v>
      </c>
      <c r="I9" s="181">
        <f>H9*Estimation!P61</f>
        <v>13578.95</v>
      </c>
      <c r="J9" s="181">
        <f>H9*Estimation!P62</f>
        <v>10075.450000000001</v>
      </c>
      <c r="K9" s="79" t="s">
        <v>119</v>
      </c>
    </row>
    <row r="10" spans="1:30" x14ac:dyDescent="0.35">
      <c r="A10" s="77" t="s">
        <v>125</v>
      </c>
      <c r="B10" s="100" t="s">
        <v>126</v>
      </c>
      <c r="C10" s="77" t="s">
        <v>127</v>
      </c>
      <c r="D10" s="77">
        <v>39</v>
      </c>
      <c r="E10" s="77">
        <v>40</v>
      </c>
      <c r="F10" s="78">
        <v>46547</v>
      </c>
      <c r="G10" s="78">
        <v>46558</v>
      </c>
      <c r="H10" s="135">
        <v>0.1</v>
      </c>
      <c r="I10" s="181">
        <f>H10*Estimation!P61</f>
        <v>13578.95</v>
      </c>
      <c r="J10" s="181">
        <f>H10*Estimation!P62</f>
        <v>10075.450000000001</v>
      </c>
      <c r="K10" s="79" t="s">
        <v>119</v>
      </c>
    </row>
    <row r="11" spans="1:30" x14ac:dyDescent="0.35">
      <c r="A11" s="129" t="s">
        <v>128</v>
      </c>
      <c r="B11" s="130"/>
      <c r="C11" s="130"/>
      <c r="D11" s="130"/>
      <c r="E11" s="130"/>
      <c r="F11" s="131"/>
      <c r="G11" s="131"/>
      <c r="I11" s="182">
        <f t="shared" ref="I11:J11" si="0">SUM(I5:I10)</f>
        <v>135789.5</v>
      </c>
      <c r="J11" s="182">
        <f t="shared" si="0"/>
        <v>100754.5</v>
      </c>
    </row>
  </sheetData>
  <mergeCells count="3">
    <mergeCell ref="A2:AD2"/>
    <mergeCell ref="A1:AD1"/>
    <mergeCell ref="A11:G11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62A5-97D0-4B29-AD77-50549C497549}">
  <sheetPr>
    <tabColor rgb="FF1F4E78"/>
  </sheetPr>
  <dimension ref="A1:R64"/>
  <sheetViews>
    <sheetView showGridLines="0" topLeftCell="B50" workbookViewId="0">
      <selection activeCell="P61" sqref="P61"/>
    </sheetView>
  </sheetViews>
  <sheetFormatPr defaultRowHeight="14.5" x14ac:dyDescent="0.35"/>
  <cols>
    <col min="1" max="1" width="28" customWidth="1"/>
    <col min="2" max="2" width="25.26953125" customWidth="1"/>
    <col min="3" max="3" width="33.26953125" customWidth="1"/>
    <col min="4" max="4" width="42.26953125" customWidth="1"/>
    <col min="5" max="5" width="18" customWidth="1"/>
    <col min="6" max="6" width="14" customWidth="1"/>
    <col min="7" max="7" width="16" customWidth="1"/>
    <col min="8" max="8" width="14" customWidth="1"/>
    <col min="9" max="9" width="18" customWidth="1"/>
    <col min="10" max="10" width="22" customWidth="1"/>
    <col min="11" max="11" width="16" customWidth="1"/>
    <col min="12" max="12" width="18" customWidth="1"/>
    <col min="13" max="15" width="20" customWidth="1"/>
    <col min="16" max="17" width="22" customWidth="1"/>
    <col min="18" max="18" width="13.7265625" bestFit="1" customWidth="1"/>
  </cols>
  <sheetData>
    <row r="1" spans="1:14" ht="23.5" x14ac:dyDescent="0.35">
      <c r="A1" s="136" t="s">
        <v>346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 x14ac:dyDescent="0.35">
      <c r="A2" s="138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4" spans="1:14" x14ac:dyDescent="0.35">
      <c r="A4" s="139" t="s">
        <v>347</v>
      </c>
      <c r="B4" s="118"/>
      <c r="C4" s="119"/>
    </row>
    <row r="5" spans="1:14" x14ac:dyDescent="0.35">
      <c r="A5" s="140" t="s">
        <v>18</v>
      </c>
      <c r="B5" s="141"/>
      <c r="C5" s="73" t="s">
        <v>348</v>
      </c>
    </row>
    <row r="6" spans="1:14" x14ac:dyDescent="0.35">
      <c r="A6" s="140" t="s">
        <v>349</v>
      </c>
      <c r="B6" s="142" t="s">
        <v>350</v>
      </c>
      <c r="C6" s="73" t="s">
        <v>351</v>
      </c>
    </row>
    <row r="7" spans="1:14" ht="29" x14ac:dyDescent="0.35">
      <c r="A7" s="140" t="s">
        <v>352</v>
      </c>
      <c r="B7" s="143">
        <v>200</v>
      </c>
      <c r="C7" s="73" t="s">
        <v>353</v>
      </c>
    </row>
    <row r="8" spans="1:14" ht="29" x14ac:dyDescent="0.35">
      <c r="A8" s="140" t="s">
        <v>354</v>
      </c>
      <c r="B8" s="143">
        <v>125</v>
      </c>
      <c r="C8" s="73" t="s">
        <v>355</v>
      </c>
    </row>
    <row r="9" spans="1:14" x14ac:dyDescent="0.35">
      <c r="A9" s="140" t="s">
        <v>356</v>
      </c>
      <c r="B9" s="143">
        <v>30</v>
      </c>
      <c r="C9" s="73" t="s">
        <v>357</v>
      </c>
    </row>
    <row r="10" spans="1:14" ht="29" x14ac:dyDescent="0.35">
      <c r="A10" s="140" t="s">
        <v>358</v>
      </c>
      <c r="B10" s="143">
        <v>100</v>
      </c>
      <c r="C10" s="73" t="s">
        <v>359</v>
      </c>
    </row>
    <row r="11" spans="1:14" ht="29" x14ac:dyDescent="0.35">
      <c r="A11" s="140" t="s">
        <v>360</v>
      </c>
      <c r="B11" s="143">
        <v>75</v>
      </c>
      <c r="C11" s="73" t="s">
        <v>359</v>
      </c>
    </row>
    <row r="12" spans="1:14" ht="29" x14ac:dyDescent="0.35">
      <c r="A12" s="140" t="s">
        <v>361</v>
      </c>
      <c r="B12" s="143">
        <v>500</v>
      </c>
      <c r="C12" s="73" t="s">
        <v>362</v>
      </c>
    </row>
    <row r="13" spans="1:14" ht="29" x14ac:dyDescent="0.35">
      <c r="A13" s="140" t="s">
        <v>363</v>
      </c>
      <c r="B13" s="143">
        <v>3600</v>
      </c>
      <c r="C13" s="73" t="s">
        <v>364</v>
      </c>
    </row>
    <row r="14" spans="1:14" ht="43.5" x14ac:dyDescent="0.35">
      <c r="A14" s="140" t="s">
        <v>365</v>
      </c>
      <c r="B14" s="143">
        <v>200</v>
      </c>
      <c r="C14" s="73" t="s">
        <v>366</v>
      </c>
    </row>
    <row r="15" spans="1:14" ht="43.5" x14ac:dyDescent="0.35">
      <c r="A15" s="140" t="s">
        <v>367</v>
      </c>
      <c r="B15" s="144">
        <v>2</v>
      </c>
      <c r="C15" s="73" t="s">
        <v>368</v>
      </c>
    </row>
    <row r="16" spans="1:14" ht="29" x14ac:dyDescent="0.35">
      <c r="A16" s="140" t="s">
        <v>369</v>
      </c>
      <c r="B16" s="144">
        <v>3</v>
      </c>
      <c r="C16" s="145" t="s">
        <v>370</v>
      </c>
    </row>
    <row r="17" spans="1:12" ht="58" x14ac:dyDescent="0.35">
      <c r="A17" s="140" t="s">
        <v>371</v>
      </c>
      <c r="B17" s="146">
        <f>(B16*B14)*B15</f>
        <v>1200</v>
      </c>
      <c r="C17" s="73" t="s">
        <v>372</v>
      </c>
    </row>
    <row r="18" spans="1:12" ht="43.5" x14ac:dyDescent="0.35">
      <c r="A18" s="140" t="s">
        <v>373</v>
      </c>
      <c r="B18" s="147">
        <f>8</f>
        <v>8</v>
      </c>
      <c r="C18" s="73" t="s">
        <v>374</v>
      </c>
    </row>
    <row r="19" spans="1:12" x14ac:dyDescent="0.35">
      <c r="A19" s="140" t="s">
        <v>106</v>
      </c>
      <c r="B19" s="148">
        <v>0.1</v>
      </c>
      <c r="C19" s="73" t="s">
        <v>375</v>
      </c>
    </row>
    <row r="20" spans="1:12" ht="29" x14ac:dyDescent="0.35">
      <c r="A20" s="140" t="s">
        <v>376</v>
      </c>
      <c r="B20" s="149"/>
      <c r="C20" s="73" t="s">
        <v>377</v>
      </c>
    </row>
    <row r="21" spans="1:12" x14ac:dyDescent="0.35">
      <c r="A21" s="140" t="s">
        <v>100</v>
      </c>
      <c r="B21" s="150" t="s">
        <v>101</v>
      </c>
      <c r="C21" s="73" t="s">
        <v>378</v>
      </c>
    </row>
    <row r="23" spans="1:12" ht="29" x14ac:dyDescent="0.35">
      <c r="A23" s="151" t="s">
        <v>379</v>
      </c>
      <c r="B23" s="151" t="s">
        <v>380</v>
      </c>
      <c r="C23" s="151" t="s">
        <v>381</v>
      </c>
      <c r="D23" s="151" t="s">
        <v>382</v>
      </c>
      <c r="E23" s="151" t="s">
        <v>383</v>
      </c>
      <c r="F23" s="151" t="s">
        <v>384</v>
      </c>
      <c r="G23" s="151" t="s">
        <v>385</v>
      </c>
      <c r="H23" s="151" t="s">
        <v>386</v>
      </c>
      <c r="I23" s="151" t="s">
        <v>387</v>
      </c>
      <c r="J23" s="151" t="s">
        <v>388</v>
      </c>
      <c r="K23" s="151" t="s">
        <v>389</v>
      </c>
      <c r="L23" s="151" t="s">
        <v>390</v>
      </c>
    </row>
    <row r="24" spans="1:12" ht="29" x14ac:dyDescent="0.35">
      <c r="A24" s="58">
        <v>1</v>
      </c>
      <c r="B24" s="73" t="s">
        <v>158</v>
      </c>
      <c r="C24" s="73" t="s">
        <v>391</v>
      </c>
      <c r="D24" s="73" t="s">
        <v>392</v>
      </c>
      <c r="E24" s="152">
        <v>2</v>
      </c>
      <c r="F24" s="153">
        <v>4</v>
      </c>
      <c r="G24" s="154">
        <v>25</v>
      </c>
      <c r="H24" s="155">
        <v>2</v>
      </c>
      <c r="I24" s="156">
        <v>2</v>
      </c>
      <c r="J24" s="156">
        <v>2</v>
      </c>
      <c r="K24" s="152">
        <f t="shared" ref="K24:K33" si="0">SUM(E24:J24)</f>
        <v>37</v>
      </c>
      <c r="L24" s="73" t="s">
        <v>393</v>
      </c>
    </row>
    <row r="25" spans="1:12" ht="29" x14ac:dyDescent="0.35">
      <c r="A25" s="58">
        <v>2</v>
      </c>
      <c r="B25" s="73" t="s">
        <v>161</v>
      </c>
      <c r="C25" s="73" t="s">
        <v>394</v>
      </c>
      <c r="D25" s="73" t="s">
        <v>395</v>
      </c>
      <c r="E25" s="152">
        <v>5</v>
      </c>
      <c r="F25" s="153">
        <v>6</v>
      </c>
      <c r="G25" s="154">
        <v>35</v>
      </c>
      <c r="H25" s="155">
        <v>5</v>
      </c>
      <c r="I25" s="156">
        <v>5</v>
      </c>
      <c r="J25" s="156">
        <v>5</v>
      </c>
      <c r="K25" s="152">
        <f t="shared" si="0"/>
        <v>61</v>
      </c>
      <c r="L25" s="73" t="s">
        <v>393</v>
      </c>
    </row>
    <row r="26" spans="1:12" ht="72.5" x14ac:dyDescent="0.35">
      <c r="A26" s="58">
        <v>3</v>
      </c>
      <c r="B26" s="73" t="s">
        <v>396</v>
      </c>
      <c r="C26" s="73" t="s">
        <v>397</v>
      </c>
      <c r="D26" s="73" t="s">
        <v>398</v>
      </c>
      <c r="E26" s="152">
        <v>0</v>
      </c>
      <c r="F26" s="153">
        <v>0</v>
      </c>
      <c r="G26" s="154">
        <v>0</v>
      </c>
      <c r="H26" s="155">
        <v>0</v>
      </c>
      <c r="I26" s="156">
        <v>0</v>
      </c>
      <c r="J26" s="156">
        <v>0</v>
      </c>
      <c r="K26" s="152">
        <f t="shared" si="0"/>
        <v>0</v>
      </c>
      <c r="L26" s="157" t="s">
        <v>399</v>
      </c>
    </row>
    <row r="27" spans="1:12" ht="29" x14ac:dyDescent="0.35">
      <c r="A27" s="58">
        <v>4</v>
      </c>
      <c r="B27" s="73" t="s">
        <v>163</v>
      </c>
      <c r="C27" s="73" t="s">
        <v>400</v>
      </c>
      <c r="D27" s="73" t="s">
        <v>401</v>
      </c>
      <c r="E27" s="152">
        <v>5</v>
      </c>
      <c r="F27" s="153">
        <v>6</v>
      </c>
      <c r="G27" s="154">
        <v>35</v>
      </c>
      <c r="H27" s="155">
        <v>5</v>
      </c>
      <c r="I27" s="156">
        <v>5</v>
      </c>
      <c r="J27" s="156">
        <v>5</v>
      </c>
      <c r="K27" s="152">
        <f t="shared" si="0"/>
        <v>61</v>
      </c>
      <c r="L27" s="73" t="s">
        <v>393</v>
      </c>
    </row>
    <row r="28" spans="1:12" ht="29" x14ac:dyDescent="0.35">
      <c r="A28" s="58">
        <v>5</v>
      </c>
      <c r="B28" s="73" t="s">
        <v>165</v>
      </c>
      <c r="C28" s="73" t="s">
        <v>402</v>
      </c>
      <c r="D28" s="73" t="s">
        <v>403</v>
      </c>
      <c r="E28" s="152">
        <v>2</v>
      </c>
      <c r="F28" s="153">
        <v>4</v>
      </c>
      <c r="G28" s="154">
        <v>25</v>
      </c>
      <c r="H28" s="155">
        <v>2</v>
      </c>
      <c r="I28" s="156">
        <v>2</v>
      </c>
      <c r="J28" s="156">
        <v>2</v>
      </c>
      <c r="K28" s="152">
        <f t="shared" si="0"/>
        <v>37</v>
      </c>
      <c r="L28" s="73" t="s">
        <v>393</v>
      </c>
    </row>
    <row r="29" spans="1:12" ht="29" x14ac:dyDescent="0.35">
      <c r="A29" s="58">
        <v>6</v>
      </c>
      <c r="B29" s="73" t="s">
        <v>167</v>
      </c>
      <c r="C29" s="73" t="s">
        <v>404</v>
      </c>
      <c r="D29" s="73" t="s">
        <v>405</v>
      </c>
      <c r="E29" s="152">
        <v>2</v>
      </c>
      <c r="F29" s="153">
        <v>4</v>
      </c>
      <c r="G29" s="154">
        <v>25</v>
      </c>
      <c r="H29" s="155">
        <v>2</v>
      </c>
      <c r="I29" s="156">
        <v>2</v>
      </c>
      <c r="J29" s="156">
        <v>2</v>
      </c>
      <c r="K29" s="152">
        <f t="shared" si="0"/>
        <v>37</v>
      </c>
      <c r="L29" s="73" t="s">
        <v>393</v>
      </c>
    </row>
    <row r="30" spans="1:12" ht="29" x14ac:dyDescent="0.35">
      <c r="A30" s="58">
        <v>7</v>
      </c>
      <c r="B30" s="73" t="s">
        <v>169</v>
      </c>
      <c r="C30" s="73" t="s">
        <v>391</v>
      </c>
      <c r="D30" s="73" t="s">
        <v>406</v>
      </c>
      <c r="E30" s="152">
        <v>2</v>
      </c>
      <c r="F30" s="153">
        <v>4</v>
      </c>
      <c r="G30" s="154">
        <v>25</v>
      </c>
      <c r="H30" s="155">
        <v>2</v>
      </c>
      <c r="I30" s="156">
        <v>2</v>
      </c>
      <c r="J30" s="156">
        <v>2</v>
      </c>
      <c r="K30" s="152">
        <f t="shared" si="0"/>
        <v>37</v>
      </c>
      <c r="L30" s="73" t="s">
        <v>393</v>
      </c>
    </row>
    <row r="31" spans="1:12" ht="29" x14ac:dyDescent="0.35">
      <c r="A31" s="58">
        <v>8</v>
      </c>
      <c r="B31" s="73" t="s">
        <v>171</v>
      </c>
      <c r="C31" s="73" t="s">
        <v>407</v>
      </c>
      <c r="D31" s="73" t="s">
        <v>408</v>
      </c>
      <c r="E31" s="152">
        <v>2</v>
      </c>
      <c r="F31" s="153">
        <v>4</v>
      </c>
      <c r="G31" s="154">
        <v>25</v>
      </c>
      <c r="H31" s="155">
        <v>2</v>
      </c>
      <c r="I31" s="156">
        <v>2</v>
      </c>
      <c r="J31" s="156">
        <v>2</v>
      </c>
      <c r="K31" s="152">
        <f t="shared" si="0"/>
        <v>37</v>
      </c>
      <c r="L31" s="73" t="s">
        <v>393</v>
      </c>
    </row>
    <row r="32" spans="1:12" ht="72.5" x14ac:dyDescent="0.35">
      <c r="A32" s="58">
        <v>9</v>
      </c>
      <c r="B32" s="73" t="s">
        <v>409</v>
      </c>
      <c r="C32" s="73" t="s">
        <v>410</v>
      </c>
      <c r="D32" s="73" t="s">
        <v>411</v>
      </c>
      <c r="E32" s="152">
        <v>0</v>
      </c>
      <c r="F32" s="153">
        <v>0</v>
      </c>
      <c r="G32" s="154">
        <v>0</v>
      </c>
      <c r="H32" s="155">
        <v>0</v>
      </c>
      <c r="I32" s="156">
        <v>0</v>
      </c>
      <c r="J32" s="156">
        <v>0</v>
      </c>
      <c r="K32" s="152">
        <f t="shared" si="0"/>
        <v>0</v>
      </c>
      <c r="L32" s="157" t="s">
        <v>399</v>
      </c>
    </row>
    <row r="33" spans="1:12" ht="29" x14ac:dyDescent="0.35">
      <c r="A33" s="58">
        <v>10</v>
      </c>
      <c r="B33" s="73" t="s">
        <v>173</v>
      </c>
      <c r="C33" s="73" t="s">
        <v>391</v>
      </c>
      <c r="D33" s="73" t="s">
        <v>412</v>
      </c>
      <c r="E33" s="152">
        <v>2</v>
      </c>
      <c r="F33" s="153">
        <v>4</v>
      </c>
      <c r="G33" s="154">
        <v>25</v>
      </c>
      <c r="H33" s="155">
        <v>2</v>
      </c>
      <c r="I33" s="156">
        <v>2</v>
      </c>
      <c r="J33" s="156">
        <v>2</v>
      </c>
      <c r="K33" s="152">
        <f t="shared" si="0"/>
        <v>37</v>
      </c>
      <c r="L33" s="73" t="s">
        <v>393</v>
      </c>
    </row>
    <row r="34" spans="1:12" x14ac:dyDescent="0.35">
      <c r="E34" s="158">
        <f t="shared" ref="E34:K34" si="1">SUM(E24:E33)</f>
        <v>22</v>
      </c>
      <c r="F34" s="158">
        <f t="shared" si="1"/>
        <v>36</v>
      </c>
      <c r="G34" s="158">
        <f t="shared" si="1"/>
        <v>220</v>
      </c>
      <c r="H34" s="158">
        <f t="shared" si="1"/>
        <v>22</v>
      </c>
      <c r="I34" s="158">
        <f t="shared" si="1"/>
        <v>22</v>
      </c>
      <c r="J34" s="158">
        <f t="shared" si="1"/>
        <v>22</v>
      </c>
      <c r="K34" s="158">
        <f t="shared" si="1"/>
        <v>344</v>
      </c>
    </row>
    <row r="36" spans="1:12" x14ac:dyDescent="0.35">
      <c r="A36" s="159" t="s">
        <v>413</v>
      </c>
      <c r="B36" s="112"/>
      <c r="C36" s="112"/>
      <c r="D36" s="112"/>
      <c r="E36" s="112"/>
      <c r="F36" s="160"/>
    </row>
    <row r="37" spans="1:12" x14ac:dyDescent="0.35">
      <c r="A37" s="161" t="s">
        <v>131</v>
      </c>
      <c r="B37" s="161" t="s">
        <v>414</v>
      </c>
      <c r="C37" s="161" t="s">
        <v>415</v>
      </c>
      <c r="D37" s="161" t="s">
        <v>11</v>
      </c>
      <c r="E37" s="161" t="s">
        <v>416</v>
      </c>
      <c r="F37" s="161" t="s">
        <v>135</v>
      </c>
    </row>
    <row r="38" spans="1:12" ht="29" x14ac:dyDescent="0.35">
      <c r="A38" s="162" t="s">
        <v>417</v>
      </c>
      <c r="B38" s="73" t="s">
        <v>85</v>
      </c>
      <c r="C38" s="73" t="s">
        <v>143</v>
      </c>
      <c r="D38" s="73" t="s">
        <v>418</v>
      </c>
      <c r="E38" s="60">
        <v>8</v>
      </c>
      <c r="F38" s="58" t="s">
        <v>144</v>
      </c>
    </row>
    <row r="39" spans="1:12" ht="72.5" x14ac:dyDescent="0.35">
      <c r="A39" s="162" t="s">
        <v>419</v>
      </c>
      <c r="B39" s="73" t="s">
        <v>45</v>
      </c>
      <c r="C39" s="73" t="s">
        <v>143</v>
      </c>
      <c r="D39" s="73" t="s">
        <v>420</v>
      </c>
      <c r="E39" s="60">
        <v>12</v>
      </c>
      <c r="F39" s="58" t="s">
        <v>144</v>
      </c>
    </row>
    <row r="40" spans="1:12" ht="72.5" x14ac:dyDescent="0.35">
      <c r="A40" s="162" t="s">
        <v>421</v>
      </c>
      <c r="B40" s="73" t="s">
        <v>46</v>
      </c>
      <c r="C40" s="73" t="s">
        <v>143</v>
      </c>
      <c r="D40" s="73" t="s">
        <v>422</v>
      </c>
      <c r="E40" s="60">
        <v>12</v>
      </c>
      <c r="F40" s="58" t="s">
        <v>144</v>
      </c>
    </row>
    <row r="41" spans="1:12" ht="72.5" x14ac:dyDescent="0.35">
      <c r="A41" s="162" t="s">
        <v>423</v>
      </c>
      <c r="B41" s="73" t="s">
        <v>47</v>
      </c>
      <c r="C41" s="73" t="s">
        <v>143</v>
      </c>
      <c r="D41" s="73" t="s">
        <v>424</v>
      </c>
      <c r="E41" s="60">
        <v>22</v>
      </c>
      <c r="F41" s="58" t="s">
        <v>144</v>
      </c>
    </row>
    <row r="42" spans="1:12" ht="29" x14ac:dyDescent="0.35">
      <c r="A42" s="162" t="s">
        <v>425</v>
      </c>
      <c r="B42" s="73" t="s">
        <v>426</v>
      </c>
      <c r="C42" s="73" t="s">
        <v>143</v>
      </c>
      <c r="D42" s="73" t="s">
        <v>427</v>
      </c>
      <c r="E42" s="60">
        <v>4</v>
      </c>
      <c r="F42" s="58" t="s">
        <v>144</v>
      </c>
    </row>
    <row r="43" spans="1:12" ht="43.5" x14ac:dyDescent="0.35">
      <c r="A43" s="162" t="s">
        <v>428</v>
      </c>
      <c r="B43" s="73" t="s">
        <v>429</v>
      </c>
      <c r="C43" s="73" t="s">
        <v>143</v>
      </c>
      <c r="D43" s="73" t="s">
        <v>430</v>
      </c>
      <c r="E43" s="60">
        <v>69</v>
      </c>
      <c r="F43" s="58" t="s">
        <v>144</v>
      </c>
      <c r="H43" s="163"/>
    </row>
    <row r="44" spans="1:12" ht="43.5" x14ac:dyDescent="0.35">
      <c r="A44" s="162" t="s">
        <v>431</v>
      </c>
      <c r="B44" s="73" t="s">
        <v>432</v>
      </c>
      <c r="C44" s="73" t="s">
        <v>433</v>
      </c>
      <c r="D44" s="73" t="s">
        <v>434</v>
      </c>
      <c r="E44" s="60">
        <v>250</v>
      </c>
      <c r="F44" s="58" t="s">
        <v>435</v>
      </c>
    </row>
    <row r="45" spans="1:12" ht="72.5" x14ac:dyDescent="0.35">
      <c r="A45" s="162" t="s">
        <v>436</v>
      </c>
      <c r="B45" s="73" t="s">
        <v>437</v>
      </c>
      <c r="C45" s="73" t="s">
        <v>438</v>
      </c>
      <c r="D45" s="73" t="s">
        <v>439</v>
      </c>
      <c r="E45" s="60">
        <f>$B$18*B16</f>
        <v>24</v>
      </c>
      <c r="F45" s="73" t="s">
        <v>440</v>
      </c>
    </row>
    <row r="47" spans="1:12" x14ac:dyDescent="0.35">
      <c r="A47" s="164" t="s">
        <v>441</v>
      </c>
      <c r="B47" s="165"/>
      <c r="C47" s="165"/>
      <c r="D47" s="166"/>
    </row>
    <row r="48" spans="1:12" x14ac:dyDescent="0.35">
      <c r="A48" s="167" t="s">
        <v>442</v>
      </c>
      <c r="B48" s="165"/>
      <c r="C48" s="166"/>
      <c r="D48" s="168">
        <f>E38</f>
        <v>8</v>
      </c>
    </row>
    <row r="49" spans="1:18" x14ac:dyDescent="0.35">
      <c r="A49" s="167" t="s">
        <v>443</v>
      </c>
      <c r="B49" s="165"/>
      <c r="C49" s="166"/>
      <c r="D49" s="168">
        <f>E39</f>
        <v>12</v>
      </c>
    </row>
    <row r="50" spans="1:18" x14ac:dyDescent="0.35">
      <c r="A50" s="169" t="s">
        <v>444</v>
      </c>
      <c r="B50" s="165"/>
      <c r="C50" s="165"/>
      <c r="D50" s="168">
        <f>E40</f>
        <v>12</v>
      </c>
    </row>
    <row r="51" spans="1:18" x14ac:dyDescent="0.35">
      <c r="A51" s="169" t="s">
        <v>445</v>
      </c>
      <c r="B51" s="165"/>
      <c r="C51" s="165"/>
      <c r="D51" s="168">
        <f>E41</f>
        <v>22</v>
      </c>
    </row>
    <row r="52" spans="1:18" x14ac:dyDescent="0.35">
      <c r="A52" s="169" t="s">
        <v>446</v>
      </c>
      <c r="B52" s="165"/>
      <c r="C52" s="165"/>
      <c r="D52" s="168">
        <f>K34</f>
        <v>344</v>
      </c>
    </row>
    <row r="53" spans="1:18" x14ac:dyDescent="0.35">
      <c r="A53" s="169" t="s">
        <v>447</v>
      </c>
      <c r="B53" s="165"/>
      <c r="C53" s="165"/>
      <c r="D53" s="168">
        <f>E42</f>
        <v>4</v>
      </c>
    </row>
    <row r="54" spans="1:18" x14ac:dyDescent="0.35">
      <c r="A54" s="169" t="s">
        <v>448</v>
      </c>
      <c r="B54" s="165"/>
      <c r="C54" s="165"/>
      <c r="D54" s="168">
        <f>E43</f>
        <v>69</v>
      </c>
    </row>
    <row r="55" spans="1:18" x14ac:dyDescent="0.35">
      <c r="A55" s="169" t="s">
        <v>449</v>
      </c>
      <c r="B55" s="165"/>
      <c r="C55" s="165"/>
      <c r="D55" s="168">
        <f>E44</f>
        <v>250</v>
      </c>
    </row>
    <row r="56" spans="1:18" x14ac:dyDescent="0.35">
      <c r="A56" s="169" t="s">
        <v>450</v>
      </c>
      <c r="B56" s="165"/>
      <c r="C56" s="165"/>
      <c r="D56" s="168">
        <f>E45</f>
        <v>24</v>
      </c>
    </row>
    <row r="57" spans="1:18" x14ac:dyDescent="0.35">
      <c r="A57" s="169" t="s">
        <v>451</v>
      </c>
      <c r="B57" s="165"/>
      <c r="C57" s="165"/>
      <c r="D57" s="170">
        <f>SUM(D48:D56)</f>
        <v>745</v>
      </c>
    </row>
    <row r="59" spans="1:18" x14ac:dyDescent="0.35">
      <c r="A59" s="171" t="s">
        <v>452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</row>
    <row r="60" spans="1:18" ht="29" x14ac:dyDescent="0.35">
      <c r="A60" s="172" t="s">
        <v>453</v>
      </c>
      <c r="B60" s="172" t="s">
        <v>454</v>
      </c>
      <c r="C60" s="172" t="s">
        <v>455</v>
      </c>
      <c r="D60" s="172" t="s">
        <v>456</v>
      </c>
      <c r="E60" s="172" t="s">
        <v>457</v>
      </c>
      <c r="F60" s="172" t="s">
        <v>458</v>
      </c>
      <c r="G60" s="172" t="s">
        <v>459</v>
      </c>
      <c r="H60" s="172" t="s">
        <v>460</v>
      </c>
      <c r="I60" s="172" t="s">
        <v>104</v>
      </c>
      <c r="J60" s="172" t="s">
        <v>105</v>
      </c>
      <c r="K60" s="172" t="s">
        <v>461</v>
      </c>
      <c r="L60" s="172" t="s">
        <v>462</v>
      </c>
      <c r="M60" s="172" t="s">
        <v>463</v>
      </c>
      <c r="N60" s="172" t="s">
        <v>464</v>
      </c>
      <c r="O60" s="173" t="s">
        <v>465</v>
      </c>
      <c r="P60" s="172" t="s">
        <v>466</v>
      </c>
      <c r="Q60" s="172" t="s">
        <v>467</v>
      </c>
    </row>
    <row r="61" spans="1:18" ht="29" x14ac:dyDescent="0.35">
      <c r="A61" s="174" t="s">
        <v>102</v>
      </c>
      <c r="B61" s="175">
        <v>208</v>
      </c>
      <c r="C61" s="175">
        <v>287</v>
      </c>
      <c r="D61" s="175">
        <f>D55</f>
        <v>250</v>
      </c>
      <c r="E61" s="176">
        <f>B7</f>
        <v>200</v>
      </c>
      <c r="F61" s="176">
        <f>B8</f>
        <v>125</v>
      </c>
      <c r="G61" s="176">
        <f>B9</f>
        <v>30</v>
      </c>
      <c r="H61" s="177">
        <f>B61*E61+C61*F61+D61*G61</f>
        <v>84975</v>
      </c>
      <c r="I61" s="176">
        <f>4*500</f>
        <v>2000</v>
      </c>
      <c r="J61" s="176">
        <f>$B$17</f>
        <v>1200</v>
      </c>
      <c r="K61" s="176">
        <f>SUM(H61:J61)</f>
        <v>88175</v>
      </c>
      <c r="L61" s="178">
        <f>K61+(K61*$B$19)</f>
        <v>96992.5</v>
      </c>
      <c r="M61" s="176">
        <f>'[1]6 Months Maintenance Plan'!E10</f>
        <v>17325</v>
      </c>
      <c r="N61" s="178">
        <f>L61+M61+(M61*$B$19)</f>
        <v>116050</v>
      </c>
      <c r="O61" s="179">
        <v>0.4</v>
      </c>
      <c r="P61" s="178">
        <f>(L61*$O$61)+L61</f>
        <v>135789.5</v>
      </c>
      <c r="Q61" s="178">
        <f>N61+(N61*$O$61)</f>
        <v>162470</v>
      </c>
      <c r="R61" s="180"/>
    </row>
    <row r="62" spans="1:18" ht="29" x14ac:dyDescent="0.35">
      <c r="A62" s="174" t="s">
        <v>103</v>
      </c>
      <c r="B62" s="175">
        <v>208</v>
      </c>
      <c r="C62" s="175">
        <v>287</v>
      </c>
      <c r="D62" s="175">
        <f>D55</f>
        <v>250</v>
      </c>
      <c r="E62" s="176">
        <f>B10</f>
        <v>100</v>
      </c>
      <c r="F62" s="176">
        <f>B11</f>
        <v>75</v>
      </c>
      <c r="G62" s="176">
        <f>B9</f>
        <v>30</v>
      </c>
      <c r="H62" s="177">
        <f>B62*E62+C62*F62+D62*G62</f>
        <v>49825</v>
      </c>
      <c r="I62" s="176">
        <f>4*3600</f>
        <v>14400</v>
      </c>
      <c r="J62" s="176">
        <f>$B$17</f>
        <v>1200</v>
      </c>
      <c r="K62" s="176">
        <f>SUM(H62:J62)</f>
        <v>65425</v>
      </c>
      <c r="L62" s="178">
        <f>K62+(K62*$B$19)</f>
        <v>71967.5</v>
      </c>
      <c r="M62" s="176">
        <f>'[1]6 Months Maintenance Plan'!G10</f>
        <v>13695</v>
      </c>
      <c r="N62" s="178">
        <f>L62+M62+(M62*$B$19)</f>
        <v>87032</v>
      </c>
      <c r="O62" s="179">
        <v>0.4</v>
      </c>
      <c r="P62" s="178">
        <f>(L62*$O$61)+L62</f>
        <v>100754.5</v>
      </c>
      <c r="Q62" s="178">
        <f>N62+(N62*$O$61)</f>
        <v>121844.8</v>
      </c>
      <c r="R62" s="180"/>
    </row>
    <row r="64" spans="1:18" x14ac:dyDescent="0.35">
      <c r="C64" s="163"/>
    </row>
  </sheetData>
  <mergeCells count="16">
    <mergeCell ref="A55:C55"/>
    <mergeCell ref="A56:C56"/>
    <mergeCell ref="A57:C57"/>
    <mergeCell ref="A59:Q59"/>
    <mergeCell ref="A49:C49"/>
    <mergeCell ref="A50:C50"/>
    <mergeCell ref="A51:C51"/>
    <mergeCell ref="A52:C52"/>
    <mergeCell ref="A53:C53"/>
    <mergeCell ref="A54:C54"/>
    <mergeCell ref="A1:N1"/>
    <mergeCell ref="A2:N2"/>
    <mergeCell ref="A4:C4"/>
    <mergeCell ref="A36:F36"/>
    <mergeCell ref="A47:D47"/>
    <mergeCell ref="A48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Project Charter</vt:lpstr>
      <vt:lpstr>Detailed Schedule</vt:lpstr>
      <vt:lpstr>Weekly Summary</vt:lpstr>
      <vt:lpstr>Gantt Chart</vt:lpstr>
      <vt:lpstr>Resource Loading</vt:lpstr>
      <vt:lpstr>Milestone Cost Tracking</vt:lpstr>
      <vt:lpstr>Estimation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Sudhadeep Sugunadoss</dc:creator>
  <cp:keywords/>
  <dc:description/>
  <cp:lastModifiedBy>Sudhadeep Sugunadoss</cp:lastModifiedBy>
  <cp:revision/>
  <dcterms:created xsi:type="dcterms:W3CDTF">2026-08-18T09:46:14Z</dcterms:created>
  <dcterms:modified xsi:type="dcterms:W3CDTF">2026-08-18T11:54:22Z</dcterms:modified>
  <cp:category/>
  <cp:contentStatus/>
</cp:coreProperties>
</file>