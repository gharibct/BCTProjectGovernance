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showInkAnnotation="0" autoCompressPictures="0"/>
  <mc:AlternateContent xmlns:mc="http://schemas.openxmlformats.org/markup-compatibility/2006">
    <mc:Choice Requires="x15">
      <x15ac:absPath xmlns:x15ac="http://schemas.microsoft.com/office/spreadsheetml/2010/11/ac" url="C:\Users\ss111018\Desktop\PDO ISO 20K\PDO Final\"/>
    </mc:Choice>
  </mc:AlternateContent>
  <xr:revisionPtr revIDLastSave="0" documentId="13_ncr:1_{C77458DD-D714-44D6-A545-39D8735CE946}" xr6:coauthVersionLast="47" xr6:coauthVersionMax="47" xr10:uidLastSave="{00000000-0000-0000-0000-000000000000}"/>
  <bookViews>
    <workbookView xWindow="-110" yWindow="-110" windowWidth="19420" windowHeight="10300" activeTab="2" xr2:uid="{00000000-000D-0000-FFFF-FFFF00000000}"/>
  </bookViews>
  <sheets>
    <sheet name="ISO 20000 Estimation Inputs" sheetId="1" r:id="rId1"/>
    <sheet name="Estimation" sheetId="2" r:id="rId2"/>
    <sheet name="6 Months Maintenance Plan" sheetId="5"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5" l="1"/>
  <c r="G6" i="5"/>
  <c r="D6" i="5"/>
  <c r="B17" i="2"/>
  <c r="B18" i="2"/>
  <c r="E45" i="2"/>
  <c r="D56" i="2"/>
  <c r="E6" i="5"/>
  <c r="G5" i="5"/>
  <c r="E5" i="5"/>
  <c r="I62" i="2"/>
  <c r="G62" i="2"/>
  <c r="F62" i="2"/>
  <c r="E62" i="2"/>
  <c r="I61" i="2"/>
  <c r="G61" i="2"/>
  <c r="F61" i="2"/>
  <c r="E61" i="2"/>
  <c r="D55" i="2"/>
  <c r="D54" i="2"/>
  <c r="D53" i="2"/>
  <c r="D51" i="2"/>
  <c r="D50" i="2"/>
  <c r="D49" i="2"/>
  <c r="D48" i="2"/>
  <c r="J34" i="2"/>
  <c r="I34" i="2"/>
  <c r="H34" i="2"/>
  <c r="G34" i="2"/>
  <c r="F34" i="2"/>
  <c r="E34" i="2"/>
  <c r="K33" i="2"/>
  <c r="K32" i="2"/>
  <c r="K31" i="2"/>
  <c r="K30" i="2"/>
  <c r="K29" i="2"/>
  <c r="K28" i="2"/>
  <c r="K27" i="2"/>
  <c r="K26" i="2"/>
  <c r="K25" i="2"/>
  <c r="K24" i="2"/>
  <c r="G8" i="5"/>
  <c r="G9" i="5"/>
  <c r="G10" i="5"/>
  <c r="M62" i="2"/>
  <c r="K34" i="2"/>
  <c r="D52" i="2"/>
  <c r="D57" i="2"/>
  <c r="E8" i="5"/>
  <c r="E9" i="5"/>
  <c r="E10" i="5"/>
  <c r="M61" i="2"/>
  <c r="J62" i="2"/>
  <c r="J61" i="2"/>
  <c r="D62" i="2"/>
  <c r="D61" i="2"/>
  <c r="H61" i="2"/>
  <c r="K61" i="2"/>
  <c r="L61" i="2"/>
  <c r="P61" i="2"/>
  <c r="N61" i="2"/>
  <c r="Q61" i="2"/>
  <c r="H62" i="2"/>
  <c r="K62" i="2"/>
  <c r="L62" i="2"/>
  <c r="N62" i="2"/>
  <c r="Q62" i="2"/>
  <c r="P62" i="2"/>
</calcChain>
</file>

<file path=xl/sharedStrings.xml><?xml version="1.0" encoding="utf-8"?>
<sst xmlns="http://schemas.openxmlformats.org/spreadsheetml/2006/main" count="265" uniqueCount="211">
  <si>
    <t>PDO ISO/IEC 20000-1 Estimation Inputs</t>
  </si>
  <si>
    <t>Input updated from PDO ISO20000-1 Proposal Questionnaire Section 1 and service estimation workbook</t>
  </si>
  <si>
    <t>Company Name:</t>
  </si>
  <si>
    <t>Petroleum Development Oman LLC (PDO)</t>
  </si>
  <si>
    <t>Address:</t>
  </si>
  <si>
    <t>P.O. Box 81, P.C. 100, Muscat, Sultanate of Oman</t>
  </si>
  <si>
    <t>Site 1 (Head Office):</t>
  </si>
  <si>
    <t>PDO Head Office, Mina Al Fahal, Saih Al Malih, Muscat, Oman</t>
  </si>
  <si>
    <t>Source Questionnaire:</t>
  </si>
  <si>
    <t>PDO_ISO20000-1_Proposal_Questionnaire_Section1_Filled</t>
  </si>
  <si>
    <t>Scope</t>
  </si>
  <si>
    <t>Provision, management, support, monitoring, and continual improvement of enterprise IT services delivered by PDO's Information Technology Directorate (IDD), including Infrastructure Services, End User Support, Application Support, Cloud Services, Data Centre Services, Network Services, SAP Services, Cybersecurity Operations, Field Communication Systems, and Digital Platforms supporting PDO operations.</t>
  </si>
  <si>
    <t>Certification Boundary:</t>
  </si>
  <si>
    <t>IDD / IT Directorate only. Services and processes managed outside IDD are excluded from the ISO/IEC 20000-1 certification boundary.</t>
  </si>
  <si>
    <t>Included Service Groups:</t>
  </si>
  <si>
    <t>Infrastructure Services; End User Support; Cloud Services; Application Support; Field Communication Systems; Data Centre; SAP Support; Network Services; Digital Platforms; Cyber Security Operations.</t>
  </si>
  <si>
    <t>Scope Exclusions / Limitations:</t>
  </si>
  <si>
    <t>Operational Technology (OT) services are excluded. Non-IDD managed services/processes and external stores/warehouses outside PDO-controlled premises are excluded unless formally added to scope.</t>
  </si>
  <si>
    <t>Location / Site Coverage:</t>
  </si>
  <si>
    <t>Primary site: PDO Head Office, Mina Al Fahal / Saih Al Malih, Muscat, Oman. Remote/operational sites and travel/audit sampling locations to be confirmed by PDO during mobilisation.</t>
  </si>
  <si>
    <t>S.No</t>
  </si>
  <si>
    <t>Service Name</t>
  </si>
  <si>
    <t>Total Resource Involved in Scope</t>
  </si>
  <si>
    <t>Description of Service</t>
  </si>
  <si>
    <t>Complexity Multiplier</t>
  </si>
  <si>
    <t>Infrastructure Services</t>
  </si>
  <si>
    <t>15+</t>
  </si>
  <si>
    <t>Hosting, Database, Storage, Back-up, AD, etc.</t>
  </si>
  <si>
    <t>End User Support</t>
  </si>
  <si>
    <t>50+</t>
  </si>
  <si>
    <t>ServiceDesk &amp; Hardware &amp; Asset Management</t>
  </si>
  <si>
    <t>Cloud Services</t>
  </si>
  <si>
    <t>Scattered across Apps Team</t>
  </si>
  <si>
    <t>Cloud Hosting coordination services</t>
  </si>
  <si>
    <t>Application Support</t>
  </si>
  <si>
    <t>50+ (incl. Contractors)</t>
  </si>
  <si>
    <t>App Development, testing, run &amp; maintain</t>
  </si>
  <si>
    <t>Field Communication Systems</t>
  </si>
  <si>
    <t>10+</t>
  </si>
  <si>
    <t>WiMAX &amp; Tetra Services</t>
  </si>
  <si>
    <t>Data Centre</t>
  </si>
  <si>
    <t>7+</t>
  </si>
  <si>
    <t>Data Center Facilities/Infrastructure Management &amp; Monitoring</t>
  </si>
  <si>
    <t>SAP Support</t>
  </si>
  <si>
    <t>SAP Basis &amp; ABAP</t>
  </si>
  <si>
    <t>Network Services</t>
  </si>
  <si>
    <t>5+</t>
  </si>
  <si>
    <t>Network &amp; Voice Collaborations</t>
  </si>
  <si>
    <t>Digital Platforms</t>
  </si>
  <si>
    <t>Included in App Support</t>
  </si>
  <si>
    <t>NA</t>
  </si>
  <si>
    <t>Cyber Security Operations</t>
  </si>
  <si>
    <t>SOC, End-Point Sec, Threat Intell, etc.</t>
  </si>
  <si>
    <t>Consulting Scope</t>
  </si>
  <si>
    <t>Gap Assessment</t>
  </si>
  <si>
    <t>Policy &amp; Procedure Optimization</t>
  </si>
  <si>
    <t>Implementation Consulting</t>
  </si>
  <si>
    <t>Training &amp; Enablement</t>
  </si>
  <si>
    <t>Internal Audit &amp; Readiness</t>
  </si>
  <si>
    <t>Management Review</t>
  </si>
  <si>
    <t>Certification Support</t>
  </si>
  <si>
    <t>Project Planning</t>
  </si>
  <si>
    <t>Preferred start date</t>
  </si>
  <si>
    <t>August end / as early as possible, subject to mobilisation readiness and stakeholder availability.</t>
  </si>
  <si>
    <t>Available internal resources</t>
  </si>
  <si>
    <t>Yes. Existing PDO IT staff shall cooperate and contribute to implement ISO/IEC 20000-1 requirements, assessments and audits.</t>
  </si>
  <si>
    <t>Mobilisation prerequisite</t>
  </si>
  <si>
    <t>PDO to confirm service owners, process owners, SME availability, evidence access, workshop calendar and management sponsorship before gap analysis.</t>
  </si>
  <si>
    <t>Site / travel planning input</t>
  </si>
  <si>
    <t>PDO to confirm site list, access permissions, travel windows and local coordination requirements for implementation, internal audit and certification audit support.</t>
  </si>
  <si>
    <t>Expected Commercial Model</t>
  </si>
  <si>
    <t>Fixed Price</t>
  </si>
  <si>
    <t>Milestone Based</t>
  </si>
  <si>
    <t>PDO ISO/IEC 20000-1 Estimation</t>
  </si>
  <si>
    <t>Global Inputs</t>
  </si>
  <si>
    <t>Project Start Date</t>
  </si>
  <si>
    <t>Editable start date</t>
  </si>
  <si>
    <t>Total Project Duration</t>
  </si>
  <si>
    <t>SME Rate - Oman Resource (OMR/PD)</t>
  </si>
  <si>
    <t>Lead Consultant / ISO 20000 SME</t>
  </si>
  <si>
    <t>Consultant Rate - Oman Resource (OMR/PD)</t>
  </si>
  <si>
    <t>Implementation / documentation consultant</t>
  </si>
  <si>
    <t>Omani Trainee Rate (OMR/PD)</t>
  </si>
  <si>
    <t>Assumed rate for two Omani trainees</t>
  </si>
  <si>
    <t>SME Rate - Indian Resource (OMR/PD)</t>
  </si>
  <si>
    <t>Indian Resource</t>
  </si>
  <si>
    <t>Consultant Rate - Indian Resource (OMR/PD)</t>
  </si>
  <si>
    <t>Local logistics placeholder</t>
  </si>
  <si>
    <t>Room 3000 + Travel 600 as per prior assumption</t>
  </si>
  <si>
    <t>Total 4 Sites. One domestic Air travel will be done and other sites will be connected through road transport.</t>
  </si>
  <si>
    <t xml:space="preserve">Travel to North and South through Air and use Road Transport for reaching other 3 sites. </t>
  </si>
  <si>
    <t>Total Domestic Travel Expense (Air &amp; Road Transport)</t>
  </si>
  <si>
    <t>Domestic travel expense based on 3 travel cycles. Additive to base travel/logistics in commercial summary.</t>
  </si>
  <si>
    <t>Contingency %</t>
  </si>
  <si>
    <t>Applied to consulting costs</t>
  </si>
  <si>
    <t>Certification Body Cost Placeholder (OMR)</t>
  </si>
  <si>
    <t>PDO Scope</t>
  </si>
  <si>
    <t>Currency</t>
  </si>
  <si>
    <t>OMR</t>
  </si>
  <si>
    <t>Commercial currency</t>
  </si>
  <si>
    <t>Domestic Local Road Travel Effort - 8 Sites</t>
  </si>
  <si>
    <t>Resource Input</t>
  </si>
  <si>
    <t>Service Description</t>
  </si>
  <si>
    <t>Gap Analysis PD</t>
  </si>
  <si>
    <t>Policy &amp; Procedure PD</t>
  </si>
  <si>
    <t>Implementation PD</t>
  </si>
  <si>
    <t>Training PD</t>
  </si>
  <si>
    <t>Internal Audit PD</t>
  </si>
  <si>
    <t>Certification Support PD</t>
  </si>
  <si>
    <t>Total Service PD</t>
  </si>
  <si>
    <t>Remarks</t>
  </si>
  <si>
    <t>Service effort as per given input.</t>
  </si>
  <si>
    <t>Zero effort per input; included in Application Support / not separately estimated.</t>
  </si>
  <si>
    <t>ID</t>
  </si>
  <si>
    <t>Description</t>
  </si>
  <si>
    <t>Effort PD</t>
  </si>
  <si>
    <t>Resource Type</t>
  </si>
  <si>
    <t>C1</t>
  </si>
  <si>
    <t>Project Initiation &amp; Governance</t>
  </si>
  <si>
    <t>All services</t>
  </si>
  <si>
    <t>Kick-off, scope confirmation, governance, evidence tracker and schedule planning.</t>
  </si>
  <si>
    <t>SME</t>
  </si>
  <si>
    <t>C2</t>
  </si>
  <si>
    <t>Understanding of PDO Ecosystem</t>
  </si>
  <si>
    <t>Understand PDO organization context, IDD operating model, service landscape, stakeholder structure, technology ecosystem, supplier interfaces, service dependencies and site context before formal gap assessment.</t>
  </si>
  <si>
    <t>C3</t>
  </si>
  <si>
    <t>PDO Team Commitment and Availability for Gap Analysis</t>
  </si>
  <si>
    <t>Obtain management and team commitment for gap assessment workshops, confirm PDO SME availability, service owner participation, process owner nominations, evidence owners and workshop calendar.</t>
  </si>
  <si>
    <t>C4</t>
  </si>
  <si>
    <t>Mobilization and Engagement Readiness</t>
  </si>
  <si>
    <t>Mobilization covers onboarding, access readiness, evidence request follow-up, questionnaire clarification, detailed schedule finalization, site/audit coordination and readiness for gap analysis.</t>
  </si>
  <si>
    <t>C5</t>
  </si>
  <si>
    <t>Management Review Facilitation</t>
  </si>
  <si>
    <t>Management review preparation, facilitation, minutes and action tracking.</t>
  </si>
  <si>
    <t>C6</t>
  </si>
  <si>
    <t>Project management, governance tracking, coordination, status reporting, issue/risk follow-up and stakeholder communication.</t>
  </si>
  <si>
    <t>C7</t>
  </si>
  <si>
    <t>Two Omani Trainees during Implementation</t>
  </si>
  <si>
    <t>Implementation phase</t>
  </si>
  <si>
    <t>2 trainees x 5 PD/week x 25 weeks for implementation assistance and knowledge transfer.</t>
  </si>
  <si>
    <t>Omani Trainee</t>
  </si>
  <si>
    <t>C8</t>
  </si>
  <si>
    <t>Domestic Site Travel / Local Road Travel</t>
  </si>
  <si>
    <t>8 sites</t>
  </si>
  <si>
    <t>SME / Travel</t>
  </si>
  <si>
    <t>Effort Summary</t>
  </si>
  <si>
    <t>Project Initiation &amp; Governance PD</t>
  </si>
  <si>
    <t>Understanding of PDO Ecosystem PD</t>
  </si>
  <si>
    <t>PDO Team Commitment and Gap Readiness PD</t>
  </si>
  <si>
    <t>Mobilization &amp; Engagement Readiness PD</t>
  </si>
  <si>
    <t>Service Management Lifecycle Effort PD</t>
  </si>
  <si>
    <t>Management Review PD</t>
  </si>
  <si>
    <t>Project Management Activity PD</t>
  </si>
  <si>
    <t>Omani Trainee Support PD</t>
  </si>
  <si>
    <t>Domestic Site Travel Effort PD</t>
  </si>
  <si>
    <t>Consultant Effort PD</t>
  </si>
  <si>
    <t>Total Programme Effort PD</t>
  </si>
  <si>
    <t>Commercial Summary</t>
  </si>
  <si>
    <t>Resource Model</t>
  </si>
  <si>
    <t>SME Effort PD</t>
  </si>
  <si>
    <t>Trainee Effort PD</t>
  </si>
  <si>
    <t>SME Rate</t>
  </si>
  <si>
    <t>Consultant Rate</t>
  </si>
  <si>
    <t>Trainee Rate</t>
  </si>
  <si>
    <t>Consulting Cost</t>
  </si>
  <si>
    <t>Base Travel / Logistics</t>
  </si>
  <si>
    <t>Domestic Travel Expense</t>
  </si>
  <si>
    <t>6 Months Maintenance Cost</t>
  </si>
  <si>
    <t>Total incl. Maintenance</t>
  </si>
  <si>
    <t>Using Oman Resources + Omani Trainees</t>
  </si>
  <si>
    <t>Using Indian Resources + Omani Trainees</t>
  </si>
  <si>
    <t>Consultant</t>
  </si>
  <si>
    <t>PDO ISO/IEC 20000-1 6 Months Maintenance Plan</t>
  </si>
  <si>
    <t>Post-certification support effort and cost for 6 months</t>
  </si>
  <si>
    <t>Maintenance Workstream</t>
  </si>
  <si>
    <t>Owner</t>
  </si>
  <si>
    <t>Annual Effort PD</t>
  </si>
  <si>
    <t>Oman Rate</t>
  </si>
  <si>
    <t>Oman Cost</t>
  </si>
  <si>
    <t>India/Offshore Rate</t>
  </si>
  <si>
    <t>India/Offshore Cost</t>
  </si>
  <si>
    <t>Deliverables</t>
  </si>
  <si>
    <t>Notes</t>
  </si>
  <si>
    <t>Maintenance Support (Handing Over and Monitoring) - Offshore</t>
  </si>
  <si>
    <t>Updated document/evidence tracker and improvement register</t>
  </si>
  <si>
    <t>Supports continual improvement and audit evidence upkeep Surveillance preparation pack, Handing over and Monitoring</t>
  </si>
  <si>
    <t>Omani trainee continuity support</t>
  </si>
  <si>
    <t>2 Omani Trainees</t>
  </si>
  <si>
    <t>Trainee support log, knowledge retention and evidence assistance</t>
  </si>
  <si>
    <t>Assumes 2 Omani trainees continue support</t>
  </si>
  <si>
    <t>TOTAL MAINTENANCE COST</t>
  </si>
  <si>
    <t>Contingency @ 10%</t>
  </si>
  <si>
    <t>TOTAL WITH CONTINGENCY</t>
  </si>
  <si>
    <t>8 sites x 1 PD local road travel per site = 8 PD. Effort is included in SME effort and costed separately for visibility.</t>
  </si>
  <si>
    <t>40 Weeks</t>
  </si>
  <si>
    <t>Overall schedule- 40 Weeks</t>
  </si>
  <si>
    <t># of Domestic Air Travels</t>
  </si>
  <si>
    <t>Program Management Effort</t>
  </si>
  <si>
    <t>Program Management</t>
  </si>
  <si>
    <t>Project Tracking</t>
  </si>
  <si>
    <t xml:space="preserve">3 Travels - 1 for implementation, 1 for Internal Audit and 1 External Audit </t>
  </si>
  <si>
    <t># of Domestic Trips</t>
  </si>
  <si>
    <t>Travel / Logistics - Oman Resource (OMR) per Resource</t>
  </si>
  <si>
    <t>Travel / Logistics - Indian Resource (OMR) per Resource</t>
  </si>
  <si>
    <t>Domestic To and Fro charge through Air per Travel</t>
  </si>
  <si>
    <t>Total Program Cost</t>
  </si>
  <si>
    <t>Total Program Cost with Contigency</t>
  </si>
  <si>
    <t>Gross Margin %</t>
  </si>
  <si>
    <t>Total Program Cost with GM</t>
  </si>
  <si>
    <t>Local road travel effort for 8 sites at 1 PD per site. Supports site familiarisation, implementation coordination, internal audit readiness and certification preparation logistics. Total 3 Trips</t>
  </si>
  <si>
    <t>Total Program Cost Incl. Maintenance with 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</si>
</sst>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dd\-mmm\-yyyy"/>
    <numFmt numFmtId="165" formatCode="#,##0\ &quot;OMR&quot;"/>
    <numFmt numFmtId="166" formatCode="0.0"/>
    <numFmt numFmtId="167" formatCode="0.00\x"/>
    <numFmt numFmtId="168" formatCode="#,##0.0\ &quot;OMR&quot;"/>
    <numFmt numFmtId="169" formatCode="0.0%"/>
    <numFmt numFmtId="170" formatCode="_ * #,##0_ ;_ * \-#,##0_ ;_ * &quot;-&quot;??_ ;_ @_ "/>
  </numFmts>
  <fonts count="10" x14ac:knownFonts="1">
    <font>
      <sz val="11"/>
      <color theme="1"/>
      <name val="Calibri"/>
      <family val="2"/>
      <scheme val="minor"/>
    </font>
    <font>
      <b/>
      <sz val="18"/>
      <color rgb="FFFFFFFF"/>
      <name val="Calibri"/>
      <family val="2"/>
    </font>
    <font>
      <i/>
      <sz val="11"/>
      <color rgb="FF666666"/>
      <name val="Calibri"/>
      <family val="2"/>
    </font>
    <font>
      <b/>
      <sz val="11"/>
      <color rgb="FFFFFFFF"/>
      <name val="Calibri"/>
      <family val="2"/>
    </font>
    <font>
      <sz val="11"/>
      <color rgb="FF0000FF"/>
      <name val="Calibri"/>
      <family val="2"/>
    </font>
    <font>
      <b/>
      <sz val="11"/>
      <color rgb="FF000000"/>
      <name val="Calibri"/>
      <family val="2"/>
    </font>
    <font>
      <b/>
      <sz val="11"/>
      <color theme="1"/>
      <name val="Calibri"/>
      <family val="2"/>
      <scheme val="minor"/>
    </font>
    <font>
      <b/>
      <sz val="11"/>
      <color rgb="FFFFFFFF"/>
      <name val="Calibri"/>
      <family val="2"/>
    </font>
    <font>
      <b/>
      <sz val="11"/>
      <color theme="0"/>
      <name val="Calibri"/>
      <family val="2"/>
      <scheme val="minor"/>
    </font>
    <font>
      <sz val="11"/>
      <color theme="1"/>
      <name val="Calibri"/>
      <family val="2"/>
      <scheme val="minor"/>
    </font>
  </fonts>
  <fills count="17">
    <fill>
      <patternFill patternType="none"/>
    </fill>
    <fill>
      <patternFill patternType="gray125"/>
    </fill>
    <fill>
      <patternFill patternType="solid">
        <fgColor rgb="FFFFF2CC"/>
      </patternFill>
    </fill>
    <fill>
      <patternFill patternType="solid">
        <fgColor rgb="FF92D050"/>
      </patternFill>
    </fill>
    <fill>
      <patternFill patternType="solid">
        <fgColor rgb="FFD9EAD3"/>
      </patternFill>
    </fill>
    <fill>
      <patternFill patternType="solid">
        <fgColor rgb="FFFFFF00"/>
      </patternFill>
    </fill>
    <fill>
      <patternFill patternType="solid">
        <fgColor theme="3"/>
      </patternFill>
    </fill>
    <fill>
      <patternFill patternType="solid">
        <fgColor rgb="FFDDEBF7"/>
      </patternFill>
    </fill>
    <fill>
      <patternFill patternType="solid">
        <fgColor rgb="FFD9EAF7"/>
      </patternFill>
    </fill>
    <fill>
      <patternFill patternType="solid">
        <fgColor rgb="FF1F4E78"/>
      </patternFill>
    </fill>
    <fill>
      <patternFill patternType="solid">
        <fgColor rgb="FFE2F0D9"/>
      </patternFill>
    </fill>
    <fill>
      <patternFill patternType="solid">
        <fgColor rgb="FF0F6B78"/>
      </patternFill>
    </fill>
    <fill>
      <patternFill patternType="solid">
        <fgColor rgb="FFFCE4D6"/>
      </patternFill>
    </fill>
    <fill>
      <patternFill patternType="solid">
        <fgColor rgb="FF548235"/>
      </patternFill>
    </fill>
    <fill>
      <patternFill patternType="solid">
        <fgColor rgb="FFE4DFEC"/>
      </patternFill>
    </fill>
    <fill>
      <patternFill patternType="solid">
        <fgColor rgb="FFFFFF0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rgb="FFD9E1F2"/>
      </bottom>
      <diagonal/>
    </border>
    <border>
      <left/>
      <right style="thin">
        <color indexed="64"/>
      </right>
      <top/>
      <bottom style="thin">
        <color rgb="FFD9E1F2"/>
      </bottom>
      <diagonal/>
    </border>
    <border>
      <left style="thin">
        <color indexed="64"/>
      </left>
      <right style="thin">
        <color indexed="64"/>
      </right>
      <top/>
      <bottom/>
      <diagonal/>
    </border>
  </borders>
  <cellStyleXfs count="2">
    <xf numFmtId="0" fontId="0" fillId="0" borderId="0"/>
    <xf numFmtId="43" fontId="9" fillId="0" borderId="0" applyFont="0" applyFill="0" applyBorder="0" applyAlignment="0" applyProtection="0"/>
  </cellStyleXfs>
  <cellXfs count="84">
    <xf numFmtId="0" fontId="0" fillId="0" borderId="0" xfId="0"/>
    <xf numFmtId="0" fontId="5" fillId="0" borderId="1" xfId="0" applyFont="1" applyBorder="1" applyAlignment="1">
      <alignment vertical="top" wrapText="1"/>
    </xf>
    <xf numFmtId="0" fontId="0" fillId="0" borderId="1" xfId="0" applyBorder="1" applyAlignment="1">
      <alignment vertical="top" wrapText="1"/>
    </xf>
    <xf numFmtId="0" fontId="0" fillId="2" borderId="1" xfId="0" applyFill="1" applyBorder="1" applyAlignment="1">
      <alignment horizontal="center" wrapText="1"/>
    </xf>
    <xf numFmtId="165" fontId="0" fillId="2" borderId="1" xfId="0" applyNumberFormat="1" applyFill="1" applyBorder="1" applyAlignment="1">
      <alignment horizontal="center"/>
    </xf>
    <xf numFmtId="9" fontId="0" fillId="2"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vertical="top" wrapText="1"/>
    </xf>
    <xf numFmtId="165" fontId="0" fillId="0" borderId="1" xfId="0" applyNumberFormat="1" applyBorder="1" applyAlignment="1">
      <alignment horizontal="center"/>
    </xf>
    <xf numFmtId="0" fontId="0" fillId="4" borderId="1" xfId="0" applyFill="1" applyBorder="1" applyAlignment="1">
      <alignment horizontal="center" vertical="top" wrapText="1"/>
    </xf>
    <xf numFmtId="0" fontId="2" fillId="0" borderId="0" xfId="0" applyFont="1" applyAlignment="1">
      <alignment horizontal="center"/>
    </xf>
    <xf numFmtId="0" fontId="6" fillId="3" borderId="1" xfId="0" applyFont="1" applyFill="1"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9" xfId="0" applyBorder="1" applyAlignment="1">
      <alignment vertical="top" wrapText="1"/>
    </xf>
    <xf numFmtId="167" fontId="4" fillId="2" borderId="7" xfId="0" applyNumberFormat="1" applyFont="1" applyFill="1" applyBorder="1" applyAlignment="1">
      <alignment horizontal="center" vertical="top" wrapText="1"/>
    </xf>
    <xf numFmtId="167" fontId="4" fillId="2" borderId="10" xfId="0" applyNumberFormat="1" applyFont="1" applyFill="1" applyBorder="1" applyAlignment="1">
      <alignment horizontal="center" vertical="top" wrapText="1"/>
    </xf>
    <xf numFmtId="165" fontId="0" fillId="5" borderId="1" xfId="0" applyNumberFormat="1" applyFill="1" applyBorder="1" applyAlignment="1">
      <alignment horizontal="center"/>
    </xf>
    <xf numFmtId="0" fontId="0" fillId="0" borderId="1" xfId="0" applyBorder="1"/>
    <xf numFmtId="0" fontId="6" fillId="0" borderId="1" xfId="0" applyFont="1" applyBorder="1" applyAlignment="1">
      <alignment vertical="top" wrapText="1"/>
    </xf>
    <xf numFmtId="0" fontId="0" fillId="0" borderId="1" xfId="0" applyBorder="1" applyAlignment="1">
      <alignment horizontal="center"/>
    </xf>
    <xf numFmtId="165" fontId="5" fillId="0" borderId="1" xfId="0" applyNumberFormat="1" applyFont="1" applyBorder="1" applyAlignment="1">
      <alignment horizontal="right"/>
    </xf>
    <xf numFmtId="3" fontId="0" fillId="2" borderId="1" xfId="0" applyNumberFormat="1" applyFill="1" applyBorder="1" applyAlignment="1">
      <alignment horizontal="center"/>
    </xf>
    <xf numFmtId="0" fontId="3" fillId="9" borderId="4"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5" fillId="0" borderId="12" xfId="0" applyFont="1" applyBorder="1" applyAlignment="1">
      <alignment vertical="top" wrapText="1"/>
    </xf>
    <xf numFmtId="0" fontId="0" fillId="10" borderId="1" xfId="0" applyFill="1" applyBorder="1" applyAlignment="1">
      <alignment horizontal="center" vertical="top" wrapText="1"/>
    </xf>
    <xf numFmtId="0" fontId="0" fillId="7" borderId="1" xfId="0" applyFill="1" applyBorder="1" applyAlignment="1">
      <alignment horizontal="center" vertical="top" wrapText="1"/>
    </xf>
    <xf numFmtId="0" fontId="0" fillId="14" borderId="1" xfId="0" applyFill="1" applyBorder="1" applyAlignment="1">
      <alignment horizontal="center" vertical="top" wrapText="1"/>
    </xf>
    <xf numFmtId="0" fontId="0" fillId="12" borderId="1" xfId="0" applyFill="1" applyBorder="1" applyAlignment="1">
      <alignment horizontal="center" vertical="top" wrapText="1"/>
    </xf>
    <xf numFmtId="0" fontId="0" fillId="12" borderId="1" xfId="0" applyFill="1" applyBorder="1" applyAlignment="1">
      <alignment vertical="top" wrapText="1"/>
    </xf>
    <xf numFmtId="0" fontId="3" fillId="11" borderId="12" xfId="0" applyFont="1" applyFill="1" applyBorder="1" applyAlignment="1">
      <alignment horizontal="center" vertical="center" wrapText="1"/>
    </xf>
    <xf numFmtId="166" fontId="0" fillId="0" borderId="12" xfId="0" applyNumberFormat="1" applyBorder="1" applyAlignment="1">
      <alignment horizontal="center" vertical="top" wrapText="1"/>
    </xf>
    <xf numFmtId="166" fontId="5" fillId="7" borderId="12" xfId="0" applyNumberFormat="1" applyFont="1" applyFill="1" applyBorder="1" applyAlignment="1">
      <alignment horizontal="center" vertical="top" wrapText="1"/>
    </xf>
    <xf numFmtId="166" fontId="5" fillId="10" borderId="12" xfId="0" applyNumberFormat="1" applyFont="1" applyFill="1" applyBorder="1" applyAlignment="1">
      <alignment horizontal="center" vertical="top" wrapText="1"/>
    </xf>
    <xf numFmtId="168" fontId="0" fillId="0" borderId="12" xfId="0" applyNumberFormat="1" applyBorder="1" applyAlignment="1">
      <alignment horizontal="center" vertical="top" wrapText="1"/>
    </xf>
    <xf numFmtId="168" fontId="5" fillId="10" borderId="12" xfId="0" applyNumberFormat="1" applyFont="1" applyFill="1" applyBorder="1" applyAlignment="1">
      <alignment horizontal="center" vertical="top" wrapText="1"/>
    </xf>
    <xf numFmtId="0" fontId="5" fillId="8" borderId="1" xfId="0" applyFont="1" applyFill="1" applyBorder="1" applyAlignment="1">
      <alignment vertical="top" wrapText="1"/>
    </xf>
    <xf numFmtId="165" fontId="5" fillId="10" borderId="1" xfId="0" applyNumberFormat="1" applyFont="1" applyFill="1" applyBorder="1" applyAlignment="1">
      <alignment horizontal="right" vertical="top" wrapText="1"/>
    </xf>
    <xf numFmtId="165" fontId="5" fillId="10" borderId="1" xfId="0" applyNumberFormat="1" applyFont="1" applyFill="1" applyBorder="1" applyAlignment="1">
      <alignment horizontal="right"/>
    </xf>
    <xf numFmtId="0" fontId="7" fillId="0" borderId="0" xfId="0" applyFont="1" applyAlignment="1">
      <alignment horizontal="center" vertical="top" wrapText="1"/>
    </xf>
    <xf numFmtId="0" fontId="6" fillId="0" borderId="0" xfId="0" applyFont="1" applyAlignment="1">
      <alignment vertical="top" wrapText="1"/>
    </xf>
    <xf numFmtId="0" fontId="7" fillId="0" borderId="6" xfId="0" applyFont="1" applyBorder="1" applyAlignment="1">
      <alignment horizontal="left" vertical="top" wrapText="1"/>
    </xf>
    <xf numFmtId="0" fontId="7" fillId="0" borderId="11" xfId="0" applyFont="1" applyBorder="1" applyAlignment="1">
      <alignment horizontal="left" vertical="top" wrapText="1"/>
    </xf>
    <xf numFmtId="0" fontId="3" fillId="11" borderId="1" xfId="0" applyFont="1" applyFill="1" applyBorder="1" applyAlignment="1">
      <alignment horizontal="center" vertical="center" wrapText="1"/>
    </xf>
    <xf numFmtId="166" fontId="0" fillId="0" borderId="1" xfId="0" applyNumberFormat="1" applyBorder="1" applyAlignment="1">
      <alignment horizontal="center" vertical="top" wrapText="1"/>
    </xf>
    <xf numFmtId="168" fontId="0" fillId="7" borderId="1" xfId="0" applyNumberFormat="1" applyFill="1" applyBorder="1" applyAlignment="1">
      <alignment horizontal="center" vertical="top" wrapText="1"/>
    </xf>
    <xf numFmtId="166" fontId="0" fillId="7" borderId="1" xfId="0" applyNumberFormat="1" applyFill="1" applyBorder="1" applyAlignment="1">
      <alignment horizontal="center" vertical="top" wrapText="1"/>
    </xf>
    <xf numFmtId="0" fontId="0" fillId="0" borderId="14" xfId="0" applyBorder="1" applyAlignment="1">
      <alignment vertical="top" wrapText="1"/>
    </xf>
    <xf numFmtId="164" fontId="0" fillId="15" borderId="1" xfId="0" applyNumberFormat="1" applyFill="1" applyBorder="1" applyAlignment="1">
      <alignment horizontal="center"/>
    </xf>
    <xf numFmtId="166" fontId="0" fillId="0" borderId="0" xfId="0" applyNumberFormat="1"/>
    <xf numFmtId="168" fontId="0" fillId="16" borderId="12" xfId="0" applyNumberFormat="1" applyFill="1" applyBorder="1" applyAlignment="1">
      <alignment horizontal="center" vertical="top" wrapText="1"/>
    </xf>
    <xf numFmtId="0" fontId="3" fillId="11" borderId="0" xfId="0" applyFont="1" applyFill="1" applyAlignment="1">
      <alignment horizontal="center" vertical="center" wrapText="1"/>
    </xf>
    <xf numFmtId="169" fontId="0" fillId="0" borderId="12" xfId="0" applyNumberFormat="1" applyBorder="1" applyAlignment="1">
      <alignment horizontal="center" vertical="top" wrapText="1"/>
    </xf>
    <xf numFmtId="170" fontId="0" fillId="0" borderId="0" xfId="1" applyNumberFormat="1" applyFont="1"/>
    <xf numFmtId="0" fontId="1" fillId="9" borderId="0" xfId="0" applyFont="1" applyFill="1" applyAlignment="1">
      <alignment horizontal="center" vertical="center"/>
    </xf>
    <xf numFmtId="0" fontId="0" fillId="0" borderId="0" xfId="0"/>
    <xf numFmtId="0" fontId="8" fillId="6" borderId="11" xfId="0" applyFont="1" applyFill="1" applyBorder="1" applyAlignment="1">
      <alignment horizontal="center" vertical="center"/>
    </xf>
    <xf numFmtId="0" fontId="0" fillId="0" borderId="11" xfId="0" applyBorder="1"/>
    <xf numFmtId="0" fontId="7" fillId="9" borderId="1" xfId="0" applyFont="1" applyFill="1" applyBorder="1" applyAlignment="1">
      <alignment horizontal="center" vertical="center" wrapText="1"/>
    </xf>
    <xf numFmtId="0" fontId="0" fillId="0" borderId="2" xfId="0" applyBorder="1"/>
    <xf numFmtId="0" fontId="0" fillId="0" borderId="3" xfId="0" applyBorder="1"/>
    <xf numFmtId="0" fontId="2" fillId="0" borderId="0" xfId="0" applyFont="1" applyAlignment="1">
      <alignment horizontal="center"/>
    </xf>
    <xf numFmtId="0" fontId="7" fillId="9"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7" fillId="9" borderId="1" xfId="0" applyFont="1" applyFill="1" applyBorder="1" applyAlignment="1">
      <alignment horizontal="left" vertical="top" wrapText="1"/>
    </xf>
    <xf numFmtId="0" fontId="8" fillId="6" borderId="1" xfId="0" applyFont="1" applyFill="1" applyBorder="1" applyAlignment="1">
      <alignment horizontal="center" vertical="center"/>
    </xf>
    <xf numFmtId="0" fontId="0" fillId="0" borderId="8" xfId="0" applyBorder="1"/>
    <xf numFmtId="0" fontId="0" fillId="0" borderId="6" xfId="0" applyBorder="1"/>
    <xf numFmtId="0" fontId="0" fillId="0" borderId="4" xfId="0" applyBorder="1"/>
    <xf numFmtId="0" fontId="0" fillId="0" borderId="3" xfId="0" applyBorder="1" applyAlignment="1">
      <alignment horizontal="left"/>
    </xf>
    <xf numFmtId="0" fontId="3" fillId="9" borderId="0" xfId="0" applyFont="1" applyFill="1" applyAlignment="1">
      <alignment horizontal="center" vertical="center" wrapText="1"/>
    </xf>
    <xf numFmtId="0" fontId="5" fillId="0" borderId="12" xfId="0" applyFont="1" applyBorder="1" applyAlignment="1">
      <alignment vertical="top" wrapText="1"/>
    </xf>
    <xf numFmtId="0" fontId="0" fillId="0" borderId="12" xfId="0" applyBorder="1"/>
    <xf numFmtId="0" fontId="1" fillId="9" borderId="0" xfId="0" applyFont="1" applyFill="1" applyAlignment="1">
      <alignment horizontal="left" vertical="center"/>
    </xf>
    <xf numFmtId="0" fontId="0" fillId="0" borderId="0" xfId="0" applyAlignment="1">
      <alignment horizontal="left"/>
    </xf>
    <xf numFmtId="0" fontId="5" fillId="0" borderId="13" xfId="0" applyFont="1" applyBorder="1" applyAlignment="1">
      <alignment vertical="top" wrapText="1"/>
    </xf>
    <xf numFmtId="0" fontId="0" fillId="0" borderId="13" xfId="0" applyBorder="1"/>
    <xf numFmtId="0" fontId="3" fillId="9" borderId="1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13" borderId="0" xfId="0" applyFont="1" applyFill="1" applyAlignment="1">
      <alignment horizontal="center"/>
    </xf>
  </cellXfs>
  <cellStyles count="2">
    <cellStyle name="Comma" xfId="1" builtinId="3"/>
    <cellStyle name="Normal" xfId="0" builtinId="0"/>
  </cellStyles>
  <dxfs count="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rviceInput" displayName="ServiceInput" ref="A14:E24" headerRowDxfId="8" totalsRowDxfId="5" headerRowBorderDxfId="7" tableBorderDxfId="6">
  <autoFilter ref="A14:E24" xr:uid="{00000000-0009-0000-0100-000001000000}"/>
  <tableColumns count="5">
    <tableColumn id="1" xr3:uid="{00000000-0010-0000-0000-000001000000}" name="S.No" dataDxfId="4"/>
    <tableColumn id="2" xr3:uid="{00000000-0010-0000-0000-000002000000}" name="Service Name" dataDxfId="3"/>
    <tableColumn id="3" xr3:uid="{00000000-0010-0000-0000-000003000000}" name="Total Resource Involved in Scope" dataDxfId="2"/>
    <tableColumn id="4" xr3:uid="{00000000-0010-0000-0000-000004000000}" name="Description of Service" dataDxfId="1"/>
    <tableColumn id="5" xr3:uid="{00000000-0010-0000-0000-000005000000}" name="Complexity Multiplier" dataDxfId="0"/>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showGridLines="0" topLeftCell="A32" workbookViewId="0">
      <selection activeCell="D40" sqref="D40"/>
    </sheetView>
  </sheetViews>
  <sheetFormatPr defaultRowHeight="14.5" x14ac:dyDescent="0.35"/>
  <cols>
    <col min="1" max="2" width="28" customWidth="1"/>
    <col min="3" max="3" width="66.453125" customWidth="1"/>
    <col min="4" max="4" width="70" customWidth="1"/>
    <col min="5" max="5" width="20" customWidth="1"/>
  </cols>
  <sheetData>
    <row r="1" spans="1:5" ht="30" customHeight="1" x14ac:dyDescent="0.35">
      <c r="A1" s="57" t="s">
        <v>0</v>
      </c>
      <c r="B1" s="58"/>
      <c r="C1" s="58"/>
      <c r="D1" s="58"/>
      <c r="E1" s="58"/>
    </row>
    <row r="2" spans="1:5" x14ac:dyDescent="0.35">
      <c r="A2" s="64" t="s">
        <v>1</v>
      </c>
      <c r="B2" s="58"/>
      <c r="C2" s="58"/>
      <c r="D2" s="58"/>
      <c r="E2" s="58"/>
    </row>
    <row r="3" spans="1:5" x14ac:dyDescent="0.35">
      <c r="A3" s="10"/>
    </row>
    <row r="4" spans="1:5" x14ac:dyDescent="0.35">
      <c r="A4" s="61" t="s">
        <v>2</v>
      </c>
      <c r="B4" s="63"/>
      <c r="C4" s="19" t="s">
        <v>3</v>
      </c>
    </row>
    <row r="5" spans="1:5" x14ac:dyDescent="0.35">
      <c r="A5" s="61" t="s">
        <v>4</v>
      </c>
      <c r="B5" s="63"/>
      <c r="C5" s="2" t="s">
        <v>5</v>
      </c>
    </row>
    <row r="6" spans="1:5" ht="16" customHeight="1" x14ac:dyDescent="0.35">
      <c r="A6" s="61" t="s">
        <v>6</v>
      </c>
      <c r="B6" s="63"/>
      <c r="C6" s="2" t="s">
        <v>7</v>
      </c>
    </row>
    <row r="7" spans="1:5" ht="24" customHeight="1" x14ac:dyDescent="0.35">
      <c r="A7" s="65" t="s">
        <v>8</v>
      </c>
      <c r="B7" s="65"/>
      <c r="C7" s="19" t="s">
        <v>9</v>
      </c>
    </row>
    <row r="8" spans="1:5" ht="87" x14ac:dyDescent="0.35">
      <c r="A8" s="66" t="s">
        <v>10</v>
      </c>
      <c r="B8" s="66"/>
      <c r="C8" s="19" t="s">
        <v>11</v>
      </c>
    </row>
    <row r="9" spans="1:5" ht="40" customHeight="1" x14ac:dyDescent="0.35">
      <c r="A9" s="65" t="s">
        <v>12</v>
      </c>
      <c r="B9" s="65"/>
      <c r="C9" s="19" t="s">
        <v>13</v>
      </c>
    </row>
    <row r="10" spans="1:5" ht="53.5" customHeight="1" x14ac:dyDescent="0.35">
      <c r="A10" s="65" t="s">
        <v>14</v>
      </c>
      <c r="B10" s="65"/>
      <c r="C10" s="19" t="s">
        <v>15</v>
      </c>
    </row>
    <row r="11" spans="1:5" ht="50.5" customHeight="1" x14ac:dyDescent="0.35">
      <c r="A11" s="65" t="s">
        <v>16</v>
      </c>
      <c r="B11" s="65"/>
      <c r="C11" s="19" t="s">
        <v>17</v>
      </c>
    </row>
    <row r="12" spans="1:5" ht="59.5" customHeight="1" x14ac:dyDescent="0.35">
      <c r="A12" s="65" t="s">
        <v>18</v>
      </c>
      <c r="B12" s="65"/>
      <c r="C12" s="19" t="s">
        <v>19</v>
      </c>
    </row>
    <row r="13" spans="1:5" ht="40" customHeight="1" x14ac:dyDescent="0.35">
      <c r="A13" s="42"/>
      <c r="B13" s="42"/>
      <c r="C13" s="43"/>
    </row>
    <row r="14" spans="1:5" x14ac:dyDescent="0.35">
      <c r="A14" s="23" t="s">
        <v>20</v>
      </c>
      <c r="B14" s="24" t="s">
        <v>21</v>
      </c>
      <c r="C14" s="24" t="s">
        <v>22</v>
      </c>
      <c r="D14" s="24" t="s">
        <v>23</v>
      </c>
      <c r="E14" s="25" t="s">
        <v>24</v>
      </c>
    </row>
    <row r="15" spans="1:5" x14ac:dyDescent="0.35">
      <c r="A15" s="12">
        <v>1</v>
      </c>
      <c r="B15" s="2" t="s">
        <v>25</v>
      </c>
      <c r="C15" s="2" t="s">
        <v>26</v>
      </c>
      <c r="D15" s="2" t="s">
        <v>27</v>
      </c>
      <c r="E15" s="15">
        <v>1</v>
      </c>
    </row>
    <row r="16" spans="1:5" x14ac:dyDescent="0.35">
      <c r="A16" s="12">
        <v>2</v>
      </c>
      <c r="B16" s="2" t="s">
        <v>28</v>
      </c>
      <c r="C16" s="2" t="s">
        <v>29</v>
      </c>
      <c r="D16" s="2" t="s">
        <v>30</v>
      </c>
      <c r="E16" s="15">
        <v>1</v>
      </c>
    </row>
    <row r="17" spans="1:5" x14ac:dyDescent="0.35">
      <c r="A17" s="12">
        <v>3</v>
      </c>
      <c r="B17" s="2" t="s">
        <v>31</v>
      </c>
      <c r="C17" s="2" t="s">
        <v>32</v>
      </c>
      <c r="D17" s="2" t="s">
        <v>33</v>
      </c>
      <c r="E17" s="15">
        <v>1</v>
      </c>
    </row>
    <row r="18" spans="1:5" x14ac:dyDescent="0.35">
      <c r="A18" s="12">
        <v>4</v>
      </c>
      <c r="B18" s="2" t="s">
        <v>34</v>
      </c>
      <c r="C18" s="2" t="s">
        <v>35</v>
      </c>
      <c r="D18" s="2" t="s">
        <v>36</v>
      </c>
      <c r="E18" s="15">
        <v>1</v>
      </c>
    </row>
    <row r="19" spans="1:5" ht="29.15" customHeight="1" x14ac:dyDescent="0.35">
      <c r="A19" s="12">
        <v>5</v>
      </c>
      <c r="B19" s="2" t="s">
        <v>37</v>
      </c>
      <c r="C19" s="2" t="s">
        <v>38</v>
      </c>
      <c r="D19" s="2" t="s">
        <v>39</v>
      </c>
      <c r="E19" s="15">
        <v>1</v>
      </c>
    </row>
    <row r="20" spans="1:5" ht="29.15" customHeight="1" x14ac:dyDescent="0.35">
      <c r="A20" s="12">
        <v>6</v>
      </c>
      <c r="B20" s="2" t="s">
        <v>40</v>
      </c>
      <c r="C20" s="2" t="s">
        <v>41</v>
      </c>
      <c r="D20" s="2" t="s">
        <v>42</v>
      </c>
      <c r="E20" s="15">
        <v>1</v>
      </c>
    </row>
    <row r="21" spans="1:5" x14ac:dyDescent="0.35">
      <c r="A21" s="12">
        <v>7</v>
      </c>
      <c r="B21" s="2" t="s">
        <v>43</v>
      </c>
      <c r="C21" s="2" t="s">
        <v>26</v>
      </c>
      <c r="D21" s="2" t="s">
        <v>44</v>
      </c>
      <c r="E21" s="15">
        <v>1</v>
      </c>
    </row>
    <row r="22" spans="1:5" x14ac:dyDescent="0.35">
      <c r="A22" s="12">
        <v>8</v>
      </c>
      <c r="B22" s="2" t="s">
        <v>45</v>
      </c>
      <c r="C22" s="2" t="s">
        <v>46</v>
      </c>
      <c r="D22" s="2" t="s">
        <v>47</v>
      </c>
      <c r="E22" s="15">
        <v>1</v>
      </c>
    </row>
    <row r="23" spans="1:5" x14ac:dyDescent="0.35">
      <c r="A23" s="12">
        <v>9</v>
      </c>
      <c r="B23" s="2" t="s">
        <v>48</v>
      </c>
      <c r="C23" s="2" t="s">
        <v>49</v>
      </c>
      <c r="D23" s="2" t="s">
        <v>50</v>
      </c>
      <c r="E23" s="15">
        <v>1</v>
      </c>
    </row>
    <row r="24" spans="1:5" x14ac:dyDescent="0.35">
      <c r="A24" s="13">
        <v>10</v>
      </c>
      <c r="B24" s="14" t="s">
        <v>51</v>
      </c>
      <c r="C24" s="14" t="s">
        <v>26</v>
      </c>
      <c r="D24" s="14" t="s">
        <v>52</v>
      </c>
      <c r="E24" s="16">
        <v>1</v>
      </c>
    </row>
    <row r="27" spans="1:5" x14ac:dyDescent="0.35">
      <c r="A27" s="59" t="s">
        <v>53</v>
      </c>
      <c r="B27" s="60"/>
      <c r="C27" s="18" t="s">
        <v>54</v>
      </c>
    </row>
    <row r="28" spans="1:5" x14ac:dyDescent="0.35">
      <c r="A28" s="58"/>
      <c r="B28" s="60"/>
      <c r="C28" s="18" t="s">
        <v>55</v>
      </c>
    </row>
    <row r="29" spans="1:5" x14ac:dyDescent="0.35">
      <c r="A29" s="58"/>
      <c r="B29" s="60"/>
      <c r="C29" s="18" t="s">
        <v>56</v>
      </c>
    </row>
    <row r="30" spans="1:5" x14ac:dyDescent="0.35">
      <c r="A30" s="58"/>
      <c r="B30" s="60"/>
      <c r="C30" s="18" t="s">
        <v>57</v>
      </c>
    </row>
    <row r="31" spans="1:5" x14ac:dyDescent="0.35">
      <c r="A31" s="58"/>
      <c r="B31" s="60"/>
      <c r="C31" s="18" t="s">
        <v>58</v>
      </c>
    </row>
    <row r="32" spans="1:5" x14ac:dyDescent="0.35">
      <c r="A32" s="58"/>
      <c r="B32" s="60"/>
      <c r="C32" s="18" t="s">
        <v>59</v>
      </c>
    </row>
    <row r="33" spans="1:3" x14ac:dyDescent="0.35">
      <c r="A33" s="58"/>
      <c r="B33" s="60"/>
      <c r="C33" s="18" t="s">
        <v>60</v>
      </c>
    </row>
    <row r="36" spans="1:3" x14ac:dyDescent="0.35">
      <c r="A36" s="61" t="s">
        <v>61</v>
      </c>
      <c r="B36" s="62"/>
      <c r="C36" s="63"/>
    </row>
    <row r="37" spans="1:3" ht="34" customHeight="1" x14ac:dyDescent="0.35">
      <c r="A37" s="67" t="s">
        <v>62</v>
      </c>
      <c r="B37" s="72"/>
      <c r="C37" s="19" t="s">
        <v>63</v>
      </c>
    </row>
    <row r="38" spans="1:3" ht="34" customHeight="1" x14ac:dyDescent="0.35">
      <c r="A38" s="67" t="s">
        <v>64</v>
      </c>
      <c r="B38" s="72"/>
      <c r="C38" s="19" t="s">
        <v>65</v>
      </c>
    </row>
    <row r="39" spans="1:3" ht="34" customHeight="1" x14ac:dyDescent="0.35">
      <c r="A39" s="67" t="s">
        <v>66</v>
      </c>
      <c r="B39" s="67"/>
      <c r="C39" s="19" t="s">
        <v>67</v>
      </c>
    </row>
    <row r="40" spans="1:3" ht="34" customHeight="1" x14ac:dyDescent="0.35">
      <c r="A40" s="67" t="s">
        <v>68</v>
      </c>
      <c r="B40" s="67"/>
      <c r="C40" s="19" t="s">
        <v>69</v>
      </c>
    </row>
    <row r="41" spans="1:3" ht="34" customHeight="1" x14ac:dyDescent="0.35">
      <c r="A41" s="44"/>
      <c r="B41" s="45"/>
      <c r="C41" s="19"/>
    </row>
    <row r="42" spans="1:3" x14ac:dyDescent="0.35">
      <c r="A42" s="68" t="s">
        <v>70</v>
      </c>
      <c r="B42" s="69"/>
      <c r="C42" s="18" t="s">
        <v>71</v>
      </c>
    </row>
    <row r="43" spans="1:3" x14ac:dyDescent="0.35">
      <c r="A43" s="70"/>
      <c r="B43" s="71"/>
      <c r="C43" s="18" t="s">
        <v>72</v>
      </c>
    </row>
  </sheetData>
  <mergeCells count="18">
    <mergeCell ref="A39:B39"/>
    <mergeCell ref="A40:B40"/>
    <mergeCell ref="A42:B43"/>
    <mergeCell ref="A5:B5"/>
    <mergeCell ref="A38:B38"/>
    <mergeCell ref="A37:B37"/>
    <mergeCell ref="A1:E1"/>
    <mergeCell ref="A27:B33"/>
    <mergeCell ref="A36:C36"/>
    <mergeCell ref="A6:B6"/>
    <mergeCell ref="A4:B4"/>
    <mergeCell ref="A2:E2"/>
    <mergeCell ref="A7:B7"/>
    <mergeCell ref="A8:B8"/>
    <mergeCell ref="A9:B9"/>
    <mergeCell ref="A10:B10"/>
    <mergeCell ref="A11:B11"/>
    <mergeCell ref="A12:B1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R64"/>
  <sheetViews>
    <sheetView showGridLines="0" topLeftCell="J50" workbookViewId="0">
      <selection activeCell="O54" sqref="O54"/>
    </sheetView>
  </sheetViews>
  <sheetFormatPr defaultRowHeight="14.5" x14ac:dyDescent="0.35"/>
  <cols>
    <col min="1" max="1" width="28" customWidth="1"/>
    <col min="2" max="2" width="25.26953125" customWidth="1"/>
    <col min="3" max="3" width="33.26953125" customWidth="1"/>
    <col min="4" max="4" width="42.26953125" customWidth="1"/>
    <col min="5" max="5" width="18" customWidth="1"/>
    <col min="6" max="6" width="14" customWidth="1"/>
    <col min="7" max="7" width="16" customWidth="1"/>
    <col min="8" max="8" width="14" customWidth="1"/>
    <col min="9" max="9" width="18" customWidth="1"/>
    <col min="10" max="10" width="22" customWidth="1"/>
    <col min="11" max="11" width="16" customWidth="1"/>
    <col min="12" max="12" width="18" customWidth="1"/>
    <col min="13" max="15" width="20" customWidth="1"/>
    <col min="16" max="17" width="22" customWidth="1"/>
    <col min="18" max="18" width="13.7265625" bestFit="1" customWidth="1"/>
  </cols>
  <sheetData>
    <row r="1" spans="1:14" ht="23.5" x14ac:dyDescent="0.35">
      <c r="A1" s="76" t="s">
        <v>73</v>
      </c>
      <c r="B1" s="77"/>
      <c r="C1" s="77"/>
      <c r="D1" s="77"/>
      <c r="E1" s="77"/>
      <c r="F1" s="77"/>
      <c r="G1" s="77"/>
      <c r="H1" s="77"/>
      <c r="I1" s="77"/>
      <c r="J1" s="77"/>
      <c r="K1" s="77"/>
      <c r="L1" s="77"/>
      <c r="M1" s="77"/>
      <c r="N1" s="77"/>
    </row>
    <row r="2" spans="1:14" x14ac:dyDescent="0.35">
      <c r="A2" s="64"/>
      <c r="B2" s="58"/>
      <c r="C2" s="58"/>
      <c r="D2" s="58"/>
      <c r="E2" s="58"/>
      <c r="F2" s="58"/>
      <c r="G2" s="58"/>
      <c r="H2" s="58"/>
      <c r="I2" s="58"/>
      <c r="J2" s="58"/>
      <c r="K2" s="58"/>
      <c r="L2" s="58"/>
      <c r="M2" s="58"/>
      <c r="N2" s="58"/>
    </row>
    <row r="4" spans="1:14" x14ac:dyDescent="0.35">
      <c r="A4" s="81" t="s">
        <v>74</v>
      </c>
      <c r="B4" s="62"/>
      <c r="C4" s="63"/>
    </row>
    <row r="5" spans="1:14" x14ac:dyDescent="0.35">
      <c r="A5" s="1" t="s">
        <v>75</v>
      </c>
      <c r="B5" s="51"/>
      <c r="C5" s="2" t="s">
        <v>76</v>
      </c>
    </row>
    <row r="6" spans="1:14" x14ac:dyDescent="0.35">
      <c r="A6" s="1" t="s">
        <v>77</v>
      </c>
      <c r="B6" s="3" t="s">
        <v>194</v>
      </c>
      <c r="C6" s="2" t="s">
        <v>195</v>
      </c>
    </row>
    <row r="7" spans="1:14" ht="29" x14ac:dyDescent="0.35">
      <c r="A7" s="1" t="s">
        <v>78</v>
      </c>
      <c r="B7" s="4">
        <v>200</v>
      </c>
      <c r="C7" s="2" t="s">
        <v>79</v>
      </c>
    </row>
    <row r="8" spans="1:14" ht="29" x14ac:dyDescent="0.35">
      <c r="A8" s="1" t="s">
        <v>80</v>
      </c>
      <c r="B8" s="4">
        <v>125</v>
      </c>
      <c r="C8" s="2" t="s">
        <v>81</v>
      </c>
    </row>
    <row r="9" spans="1:14" x14ac:dyDescent="0.35">
      <c r="A9" s="1" t="s">
        <v>82</v>
      </c>
      <c r="B9" s="4">
        <v>30</v>
      </c>
      <c r="C9" s="2" t="s">
        <v>83</v>
      </c>
    </row>
    <row r="10" spans="1:14" ht="29" x14ac:dyDescent="0.35">
      <c r="A10" s="1" t="s">
        <v>84</v>
      </c>
      <c r="B10" s="4">
        <v>100</v>
      </c>
      <c r="C10" s="2" t="s">
        <v>85</v>
      </c>
    </row>
    <row r="11" spans="1:14" ht="29" x14ac:dyDescent="0.35">
      <c r="A11" s="1" t="s">
        <v>86</v>
      </c>
      <c r="B11" s="4">
        <v>75</v>
      </c>
      <c r="C11" s="2" t="s">
        <v>85</v>
      </c>
    </row>
    <row r="12" spans="1:14" ht="29" x14ac:dyDescent="0.35">
      <c r="A12" s="1" t="s">
        <v>202</v>
      </c>
      <c r="B12" s="4">
        <v>500</v>
      </c>
      <c r="C12" s="2" t="s">
        <v>87</v>
      </c>
    </row>
    <row r="13" spans="1:14" ht="29" x14ac:dyDescent="0.35">
      <c r="A13" s="1" t="s">
        <v>203</v>
      </c>
      <c r="B13" s="4">
        <v>3600</v>
      </c>
      <c r="C13" s="2" t="s">
        <v>88</v>
      </c>
    </row>
    <row r="14" spans="1:14" ht="43.5" x14ac:dyDescent="0.35">
      <c r="A14" s="1" t="s">
        <v>204</v>
      </c>
      <c r="B14" s="4">
        <v>200</v>
      </c>
      <c r="C14" s="2" t="s">
        <v>89</v>
      </c>
    </row>
    <row r="15" spans="1:14" ht="43.5" x14ac:dyDescent="0.35">
      <c r="A15" s="1" t="s">
        <v>196</v>
      </c>
      <c r="B15" s="22">
        <v>2</v>
      </c>
      <c r="C15" s="2" t="s">
        <v>90</v>
      </c>
    </row>
    <row r="16" spans="1:14" ht="29" x14ac:dyDescent="0.35">
      <c r="A16" s="1" t="s">
        <v>201</v>
      </c>
      <c r="B16" s="22">
        <v>3</v>
      </c>
      <c r="C16" s="50" t="s">
        <v>200</v>
      </c>
    </row>
    <row r="17" spans="1:12" ht="58" x14ac:dyDescent="0.35">
      <c r="A17" s="1" t="s">
        <v>91</v>
      </c>
      <c r="B17" s="48">
        <f>(B16*B14)*B15</f>
        <v>1200</v>
      </c>
      <c r="C17" s="2" t="s">
        <v>92</v>
      </c>
    </row>
    <row r="18" spans="1:12" ht="43.5" x14ac:dyDescent="0.35">
      <c r="A18" s="1" t="s">
        <v>100</v>
      </c>
      <c r="B18" s="49">
        <f>8</f>
        <v>8</v>
      </c>
      <c r="C18" s="2" t="s">
        <v>193</v>
      </c>
    </row>
    <row r="19" spans="1:12" x14ac:dyDescent="0.35">
      <c r="A19" s="1" t="s">
        <v>93</v>
      </c>
      <c r="B19" s="5">
        <v>0.1</v>
      </c>
      <c r="C19" s="2" t="s">
        <v>94</v>
      </c>
    </row>
    <row r="20" spans="1:12" ht="29" x14ac:dyDescent="0.35">
      <c r="A20" s="1" t="s">
        <v>95</v>
      </c>
      <c r="B20" s="17"/>
      <c r="C20" s="2" t="s">
        <v>96</v>
      </c>
    </row>
    <row r="21" spans="1:12" x14ac:dyDescent="0.35">
      <c r="A21" s="1" t="s">
        <v>97</v>
      </c>
      <c r="B21" s="6" t="s">
        <v>98</v>
      </c>
      <c r="C21" s="2" t="s">
        <v>99</v>
      </c>
    </row>
    <row r="23" spans="1:12" ht="29" x14ac:dyDescent="0.35">
      <c r="A23" s="26" t="s">
        <v>20</v>
      </c>
      <c r="B23" s="26" t="s">
        <v>21</v>
      </c>
      <c r="C23" s="26" t="s">
        <v>101</v>
      </c>
      <c r="D23" s="26" t="s">
        <v>102</v>
      </c>
      <c r="E23" s="26" t="s">
        <v>103</v>
      </c>
      <c r="F23" s="26" t="s">
        <v>104</v>
      </c>
      <c r="G23" s="26" t="s">
        <v>105</v>
      </c>
      <c r="H23" s="26" t="s">
        <v>106</v>
      </c>
      <c r="I23" s="26" t="s">
        <v>107</v>
      </c>
      <c r="J23" s="26" t="s">
        <v>108</v>
      </c>
      <c r="K23" s="26" t="s">
        <v>109</v>
      </c>
      <c r="L23" s="26" t="s">
        <v>110</v>
      </c>
    </row>
    <row r="24" spans="1:12" ht="29" x14ac:dyDescent="0.35">
      <c r="A24" s="7">
        <v>1</v>
      </c>
      <c r="B24" s="2" t="s">
        <v>25</v>
      </c>
      <c r="C24" s="2" t="s">
        <v>26</v>
      </c>
      <c r="D24" s="2" t="s">
        <v>27</v>
      </c>
      <c r="E24" s="28">
        <v>2</v>
      </c>
      <c r="F24" s="9">
        <v>4</v>
      </c>
      <c r="G24" s="29">
        <v>25</v>
      </c>
      <c r="H24" s="30">
        <v>2</v>
      </c>
      <c r="I24" s="31">
        <v>2</v>
      </c>
      <c r="J24" s="31">
        <v>2</v>
      </c>
      <c r="K24" s="28">
        <f t="shared" ref="K24:K33" si="0">SUM(E24:J24)</f>
        <v>37</v>
      </c>
      <c r="L24" s="2" t="s">
        <v>111</v>
      </c>
    </row>
    <row r="25" spans="1:12" ht="29" x14ac:dyDescent="0.35">
      <c r="A25" s="7">
        <v>2</v>
      </c>
      <c r="B25" s="2" t="s">
        <v>28</v>
      </c>
      <c r="C25" s="2" t="s">
        <v>29</v>
      </c>
      <c r="D25" s="2" t="s">
        <v>30</v>
      </c>
      <c r="E25" s="28">
        <v>5</v>
      </c>
      <c r="F25" s="9">
        <v>6</v>
      </c>
      <c r="G25" s="29">
        <v>35</v>
      </c>
      <c r="H25" s="30">
        <v>5</v>
      </c>
      <c r="I25" s="31">
        <v>5</v>
      </c>
      <c r="J25" s="31">
        <v>5</v>
      </c>
      <c r="K25" s="28">
        <f t="shared" si="0"/>
        <v>61</v>
      </c>
      <c r="L25" s="2" t="s">
        <v>111</v>
      </c>
    </row>
    <row r="26" spans="1:12" ht="72.5" x14ac:dyDescent="0.35">
      <c r="A26" s="7">
        <v>3</v>
      </c>
      <c r="B26" s="2" t="s">
        <v>31</v>
      </c>
      <c r="C26" s="2" t="s">
        <v>32</v>
      </c>
      <c r="D26" s="2" t="s">
        <v>33</v>
      </c>
      <c r="E26" s="28">
        <v>0</v>
      </c>
      <c r="F26" s="9">
        <v>0</v>
      </c>
      <c r="G26" s="29">
        <v>0</v>
      </c>
      <c r="H26" s="30">
        <v>0</v>
      </c>
      <c r="I26" s="31">
        <v>0</v>
      </c>
      <c r="J26" s="31">
        <v>0</v>
      </c>
      <c r="K26" s="28">
        <f t="shared" si="0"/>
        <v>0</v>
      </c>
      <c r="L26" s="32" t="s">
        <v>112</v>
      </c>
    </row>
    <row r="27" spans="1:12" ht="29" x14ac:dyDescent="0.35">
      <c r="A27" s="7">
        <v>4</v>
      </c>
      <c r="B27" s="2" t="s">
        <v>34</v>
      </c>
      <c r="C27" s="2" t="s">
        <v>35</v>
      </c>
      <c r="D27" s="2" t="s">
        <v>36</v>
      </c>
      <c r="E27" s="28">
        <v>5</v>
      </c>
      <c r="F27" s="9">
        <v>6</v>
      </c>
      <c r="G27" s="29">
        <v>35</v>
      </c>
      <c r="H27" s="30">
        <v>5</v>
      </c>
      <c r="I27" s="31">
        <v>5</v>
      </c>
      <c r="J27" s="31">
        <v>5</v>
      </c>
      <c r="K27" s="28">
        <f t="shared" si="0"/>
        <v>61</v>
      </c>
      <c r="L27" s="2" t="s">
        <v>111</v>
      </c>
    </row>
    <row r="28" spans="1:12" ht="29" x14ac:dyDescent="0.35">
      <c r="A28" s="7">
        <v>5</v>
      </c>
      <c r="B28" s="2" t="s">
        <v>37</v>
      </c>
      <c r="C28" s="2" t="s">
        <v>38</v>
      </c>
      <c r="D28" s="2" t="s">
        <v>39</v>
      </c>
      <c r="E28" s="28">
        <v>2</v>
      </c>
      <c r="F28" s="9">
        <v>4</v>
      </c>
      <c r="G28" s="29">
        <v>25</v>
      </c>
      <c r="H28" s="30">
        <v>2</v>
      </c>
      <c r="I28" s="31">
        <v>2</v>
      </c>
      <c r="J28" s="31">
        <v>2</v>
      </c>
      <c r="K28" s="28">
        <f t="shared" si="0"/>
        <v>37</v>
      </c>
      <c r="L28" s="2" t="s">
        <v>111</v>
      </c>
    </row>
    <row r="29" spans="1:12" ht="29" x14ac:dyDescent="0.35">
      <c r="A29" s="7">
        <v>6</v>
      </c>
      <c r="B29" s="2" t="s">
        <v>40</v>
      </c>
      <c r="C29" s="2" t="s">
        <v>41</v>
      </c>
      <c r="D29" s="2" t="s">
        <v>42</v>
      </c>
      <c r="E29" s="28">
        <v>2</v>
      </c>
      <c r="F29" s="9">
        <v>4</v>
      </c>
      <c r="G29" s="29">
        <v>25</v>
      </c>
      <c r="H29" s="30">
        <v>2</v>
      </c>
      <c r="I29" s="31">
        <v>2</v>
      </c>
      <c r="J29" s="31">
        <v>2</v>
      </c>
      <c r="K29" s="28">
        <f t="shared" si="0"/>
        <v>37</v>
      </c>
      <c r="L29" s="2" t="s">
        <v>111</v>
      </c>
    </row>
    <row r="30" spans="1:12" ht="29" x14ac:dyDescent="0.35">
      <c r="A30" s="7">
        <v>7</v>
      </c>
      <c r="B30" s="2" t="s">
        <v>43</v>
      </c>
      <c r="C30" s="2" t="s">
        <v>26</v>
      </c>
      <c r="D30" s="2" t="s">
        <v>44</v>
      </c>
      <c r="E30" s="28">
        <v>2</v>
      </c>
      <c r="F30" s="9">
        <v>4</v>
      </c>
      <c r="G30" s="29">
        <v>25</v>
      </c>
      <c r="H30" s="30">
        <v>2</v>
      </c>
      <c r="I30" s="31">
        <v>2</v>
      </c>
      <c r="J30" s="31">
        <v>2</v>
      </c>
      <c r="K30" s="28">
        <f t="shared" si="0"/>
        <v>37</v>
      </c>
      <c r="L30" s="2" t="s">
        <v>111</v>
      </c>
    </row>
    <row r="31" spans="1:12" ht="29" x14ac:dyDescent="0.35">
      <c r="A31" s="7">
        <v>8</v>
      </c>
      <c r="B31" s="2" t="s">
        <v>45</v>
      </c>
      <c r="C31" s="2" t="s">
        <v>46</v>
      </c>
      <c r="D31" s="2" t="s">
        <v>47</v>
      </c>
      <c r="E31" s="28">
        <v>2</v>
      </c>
      <c r="F31" s="9">
        <v>4</v>
      </c>
      <c r="G31" s="29">
        <v>25</v>
      </c>
      <c r="H31" s="30">
        <v>2</v>
      </c>
      <c r="I31" s="31">
        <v>2</v>
      </c>
      <c r="J31" s="31">
        <v>2</v>
      </c>
      <c r="K31" s="28">
        <f t="shared" si="0"/>
        <v>37</v>
      </c>
      <c r="L31" s="2" t="s">
        <v>111</v>
      </c>
    </row>
    <row r="32" spans="1:12" ht="72.5" x14ac:dyDescent="0.35">
      <c r="A32" s="7">
        <v>9</v>
      </c>
      <c r="B32" s="2" t="s">
        <v>48</v>
      </c>
      <c r="C32" s="2" t="s">
        <v>49</v>
      </c>
      <c r="D32" s="2" t="s">
        <v>50</v>
      </c>
      <c r="E32" s="28">
        <v>0</v>
      </c>
      <c r="F32" s="9">
        <v>0</v>
      </c>
      <c r="G32" s="29">
        <v>0</v>
      </c>
      <c r="H32" s="30">
        <v>0</v>
      </c>
      <c r="I32" s="31">
        <v>0</v>
      </c>
      <c r="J32" s="31">
        <v>0</v>
      </c>
      <c r="K32" s="28">
        <f t="shared" si="0"/>
        <v>0</v>
      </c>
      <c r="L32" s="32" t="s">
        <v>112</v>
      </c>
    </row>
    <row r="33" spans="1:12" ht="29" x14ac:dyDescent="0.35">
      <c r="A33" s="7">
        <v>10</v>
      </c>
      <c r="B33" s="2" t="s">
        <v>51</v>
      </c>
      <c r="C33" s="2" t="s">
        <v>26</v>
      </c>
      <c r="D33" s="2" t="s">
        <v>52</v>
      </c>
      <c r="E33" s="28">
        <v>2</v>
      </c>
      <c r="F33" s="9">
        <v>4</v>
      </c>
      <c r="G33" s="29">
        <v>25</v>
      </c>
      <c r="H33" s="30">
        <v>2</v>
      </c>
      <c r="I33" s="31">
        <v>2</v>
      </c>
      <c r="J33" s="31">
        <v>2</v>
      </c>
      <c r="K33" s="28">
        <f t="shared" si="0"/>
        <v>37</v>
      </c>
      <c r="L33" s="2" t="s">
        <v>111</v>
      </c>
    </row>
    <row r="34" spans="1:12" x14ac:dyDescent="0.35">
      <c r="E34" s="11">
        <f t="shared" ref="E34:K34" si="1">SUM(E24:E33)</f>
        <v>22</v>
      </c>
      <c r="F34" s="11">
        <f t="shared" si="1"/>
        <v>36</v>
      </c>
      <c r="G34" s="11">
        <f t="shared" si="1"/>
        <v>220</v>
      </c>
      <c r="H34" s="11">
        <f t="shared" si="1"/>
        <v>22</v>
      </c>
      <c r="I34" s="11">
        <f t="shared" si="1"/>
        <v>22</v>
      </c>
      <c r="J34" s="11">
        <f t="shared" si="1"/>
        <v>22</v>
      </c>
      <c r="K34" s="11">
        <f t="shared" si="1"/>
        <v>344</v>
      </c>
    </row>
    <row r="36" spans="1:12" x14ac:dyDescent="0.35">
      <c r="A36" s="80" t="s">
        <v>197</v>
      </c>
      <c r="B36" s="58"/>
      <c r="C36" s="58"/>
      <c r="D36" s="58"/>
      <c r="E36" s="58"/>
      <c r="F36" s="60"/>
    </row>
    <row r="37" spans="1:12" x14ac:dyDescent="0.35">
      <c r="A37" s="46" t="s">
        <v>113</v>
      </c>
      <c r="B37" s="46" t="s">
        <v>198</v>
      </c>
      <c r="C37" s="46" t="s">
        <v>10</v>
      </c>
      <c r="D37" s="46" t="s">
        <v>114</v>
      </c>
      <c r="E37" s="46" t="s">
        <v>115</v>
      </c>
      <c r="F37" s="46" t="s">
        <v>116</v>
      </c>
    </row>
    <row r="38" spans="1:12" ht="29" x14ac:dyDescent="0.35">
      <c r="A38" s="39" t="s">
        <v>117</v>
      </c>
      <c r="B38" s="2" t="s">
        <v>118</v>
      </c>
      <c r="C38" s="2" t="s">
        <v>119</v>
      </c>
      <c r="D38" s="2" t="s">
        <v>120</v>
      </c>
      <c r="E38" s="47">
        <v>8</v>
      </c>
      <c r="F38" s="7" t="s">
        <v>121</v>
      </c>
    </row>
    <row r="39" spans="1:12" ht="72.5" x14ac:dyDescent="0.35">
      <c r="A39" s="39" t="s">
        <v>122</v>
      </c>
      <c r="B39" s="2" t="s">
        <v>123</v>
      </c>
      <c r="C39" s="2" t="s">
        <v>119</v>
      </c>
      <c r="D39" s="2" t="s">
        <v>124</v>
      </c>
      <c r="E39" s="47">
        <v>12</v>
      </c>
      <c r="F39" s="7" t="s">
        <v>121</v>
      </c>
    </row>
    <row r="40" spans="1:12" ht="72.5" x14ac:dyDescent="0.35">
      <c r="A40" s="39" t="s">
        <v>125</v>
      </c>
      <c r="B40" s="2" t="s">
        <v>126</v>
      </c>
      <c r="C40" s="2" t="s">
        <v>119</v>
      </c>
      <c r="D40" s="2" t="s">
        <v>127</v>
      </c>
      <c r="E40" s="47">
        <v>12</v>
      </c>
      <c r="F40" s="7" t="s">
        <v>121</v>
      </c>
    </row>
    <row r="41" spans="1:12" ht="72.5" x14ac:dyDescent="0.35">
      <c r="A41" s="39" t="s">
        <v>128</v>
      </c>
      <c r="B41" s="2" t="s">
        <v>129</v>
      </c>
      <c r="C41" s="2" t="s">
        <v>119</v>
      </c>
      <c r="D41" s="2" t="s">
        <v>130</v>
      </c>
      <c r="E41" s="47">
        <v>22</v>
      </c>
      <c r="F41" s="7" t="s">
        <v>121</v>
      </c>
    </row>
    <row r="42" spans="1:12" ht="29" x14ac:dyDescent="0.35">
      <c r="A42" s="39" t="s">
        <v>131</v>
      </c>
      <c r="B42" s="2" t="s">
        <v>132</v>
      </c>
      <c r="C42" s="2" t="s">
        <v>119</v>
      </c>
      <c r="D42" s="2" t="s">
        <v>133</v>
      </c>
      <c r="E42" s="47">
        <v>4</v>
      </c>
      <c r="F42" s="7" t="s">
        <v>121</v>
      </c>
    </row>
    <row r="43" spans="1:12" ht="43.5" x14ac:dyDescent="0.35">
      <c r="A43" s="39" t="s">
        <v>134</v>
      </c>
      <c r="B43" s="2" t="s">
        <v>199</v>
      </c>
      <c r="C43" s="2" t="s">
        <v>119</v>
      </c>
      <c r="D43" s="2" t="s">
        <v>135</v>
      </c>
      <c r="E43" s="47">
        <v>69</v>
      </c>
      <c r="F43" s="7" t="s">
        <v>121</v>
      </c>
      <c r="H43" s="52"/>
    </row>
    <row r="44" spans="1:12" ht="43.5" x14ac:dyDescent="0.35">
      <c r="A44" s="39" t="s">
        <v>136</v>
      </c>
      <c r="B44" s="2" t="s">
        <v>137</v>
      </c>
      <c r="C44" s="2" t="s">
        <v>138</v>
      </c>
      <c r="D44" s="2" t="s">
        <v>139</v>
      </c>
      <c r="E44" s="47">
        <v>250</v>
      </c>
      <c r="F44" s="7" t="s">
        <v>140</v>
      </c>
    </row>
    <row r="45" spans="1:12" ht="72.5" x14ac:dyDescent="0.35">
      <c r="A45" s="39" t="s">
        <v>141</v>
      </c>
      <c r="B45" s="2" t="s">
        <v>142</v>
      </c>
      <c r="C45" s="2" t="s">
        <v>143</v>
      </c>
      <c r="D45" s="2" t="s">
        <v>209</v>
      </c>
      <c r="E45" s="47">
        <f>$B$18*B16</f>
        <v>24</v>
      </c>
      <c r="F45" s="2" t="s">
        <v>144</v>
      </c>
    </row>
    <row r="47" spans="1:12" x14ac:dyDescent="0.35">
      <c r="A47" s="82" t="s">
        <v>145</v>
      </c>
      <c r="B47" s="75"/>
      <c r="C47" s="75"/>
      <c r="D47" s="79"/>
    </row>
    <row r="48" spans="1:12" x14ac:dyDescent="0.35">
      <c r="A48" s="78" t="s">
        <v>146</v>
      </c>
      <c r="B48" s="75"/>
      <c r="C48" s="79"/>
      <c r="D48" s="35">
        <f>E38</f>
        <v>8</v>
      </c>
    </row>
    <row r="49" spans="1:18" x14ac:dyDescent="0.35">
      <c r="A49" s="78" t="s">
        <v>147</v>
      </c>
      <c r="B49" s="75"/>
      <c r="C49" s="79"/>
      <c r="D49" s="35">
        <f>E39</f>
        <v>12</v>
      </c>
    </row>
    <row r="50" spans="1:18" x14ac:dyDescent="0.35">
      <c r="A50" s="74" t="s">
        <v>148</v>
      </c>
      <c r="B50" s="75"/>
      <c r="C50" s="75"/>
      <c r="D50" s="35">
        <f>E40</f>
        <v>12</v>
      </c>
    </row>
    <row r="51" spans="1:18" x14ac:dyDescent="0.35">
      <c r="A51" s="74" t="s">
        <v>149</v>
      </c>
      <c r="B51" s="75"/>
      <c r="C51" s="75"/>
      <c r="D51" s="35">
        <f>E41</f>
        <v>22</v>
      </c>
    </row>
    <row r="52" spans="1:18" x14ac:dyDescent="0.35">
      <c r="A52" s="74" t="s">
        <v>150</v>
      </c>
      <c r="B52" s="75"/>
      <c r="C52" s="75"/>
      <c r="D52" s="35">
        <f>K34</f>
        <v>344</v>
      </c>
    </row>
    <row r="53" spans="1:18" x14ac:dyDescent="0.35">
      <c r="A53" s="74" t="s">
        <v>151</v>
      </c>
      <c r="B53" s="75"/>
      <c r="C53" s="75"/>
      <c r="D53" s="35">
        <f>E42</f>
        <v>4</v>
      </c>
    </row>
    <row r="54" spans="1:18" x14ac:dyDescent="0.35">
      <c r="A54" s="74" t="s">
        <v>152</v>
      </c>
      <c r="B54" s="75"/>
      <c r="C54" s="75"/>
      <c r="D54" s="35">
        <f>E43</f>
        <v>69</v>
      </c>
    </row>
    <row r="55" spans="1:18" x14ac:dyDescent="0.35">
      <c r="A55" s="74" t="s">
        <v>153</v>
      </c>
      <c r="B55" s="75"/>
      <c r="C55" s="75"/>
      <c r="D55" s="35">
        <f>E44</f>
        <v>250</v>
      </c>
    </row>
    <row r="56" spans="1:18" x14ac:dyDescent="0.35">
      <c r="A56" s="74" t="s">
        <v>154</v>
      </c>
      <c r="B56" s="75"/>
      <c r="C56" s="75"/>
      <c r="D56" s="35">
        <f>E45</f>
        <v>24</v>
      </c>
    </row>
    <row r="57" spans="1:18" x14ac:dyDescent="0.35">
      <c r="A57" s="74" t="s">
        <v>156</v>
      </c>
      <c r="B57" s="75"/>
      <c r="C57" s="75"/>
      <c r="D57" s="36">
        <f>SUM(D48:D56)</f>
        <v>745</v>
      </c>
    </row>
    <row r="59" spans="1:18" x14ac:dyDescent="0.35">
      <c r="A59" s="73" t="s">
        <v>157</v>
      </c>
      <c r="B59" s="73"/>
      <c r="C59" s="73"/>
      <c r="D59" s="73"/>
      <c r="E59" s="73"/>
      <c r="F59" s="73"/>
      <c r="G59" s="73"/>
      <c r="H59" s="73"/>
      <c r="I59" s="73"/>
      <c r="J59" s="73"/>
      <c r="K59" s="73"/>
      <c r="L59" s="73"/>
      <c r="M59" s="73"/>
      <c r="N59" s="73"/>
      <c r="O59" s="73"/>
      <c r="P59" s="73"/>
      <c r="Q59" s="73"/>
    </row>
    <row r="60" spans="1:18" ht="29" x14ac:dyDescent="0.35">
      <c r="A60" s="33" t="s">
        <v>158</v>
      </c>
      <c r="B60" s="33" t="s">
        <v>159</v>
      </c>
      <c r="C60" s="33" t="s">
        <v>155</v>
      </c>
      <c r="D60" s="33" t="s">
        <v>160</v>
      </c>
      <c r="E60" s="33" t="s">
        <v>161</v>
      </c>
      <c r="F60" s="33" t="s">
        <v>162</v>
      </c>
      <c r="G60" s="33" t="s">
        <v>163</v>
      </c>
      <c r="H60" s="33" t="s">
        <v>164</v>
      </c>
      <c r="I60" s="33" t="s">
        <v>165</v>
      </c>
      <c r="J60" s="33" t="s">
        <v>166</v>
      </c>
      <c r="K60" s="33" t="s">
        <v>205</v>
      </c>
      <c r="L60" s="33" t="s">
        <v>206</v>
      </c>
      <c r="M60" s="33" t="s">
        <v>167</v>
      </c>
      <c r="N60" s="33" t="s">
        <v>168</v>
      </c>
      <c r="O60" s="54" t="s">
        <v>207</v>
      </c>
      <c r="P60" s="33" t="s">
        <v>208</v>
      </c>
      <c r="Q60" s="33" t="s">
        <v>210</v>
      </c>
    </row>
    <row r="61" spans="1:18" ht="29" x14ac:dyDescent="0.35">
      <c r="A61" s="27" t="s">
        <v>169</v>
      </c>
      <c r="B61" s="34">
        <v>208</v>
      </c>
      <c r="C61" s="34">
        <v>287</v>
      </c>
      <c r="D61" s="34">
        <f>D55</f>
        <v>250</v>
      </c>
      <c r="E61" s="37">
        <f>B7</f>
        <v>200</v>
      </c>
      <c r="F61" s="37">
        <f>B8</f>
        <v>125</v>
      </c>
      <c r="G61" s="37">
        <f>B9</f>
        <v>30</v>
      </c>
      <c r="H61" s="53">
        <f>B61*E61+C61*F61+D61*G61</f>
        <v>84975</v>
      </c>
      <c r="I61" s="37">
        <f>4*500</f>
        <v>2000</v>
      </c>
      <c r="J61" s="37">
        <f>$B$17</f>
        <v>1200</v>
      </c>
      <c r="K61" s="37">
        <f>SUM(H61:J61)</f>
        <v>88175</v>
      </c>
      <c r="L61" s="38">
        <f>K61+(K61*$B$19)</f>
        <v>96992.5</v>
      </c>
      <c r="M61" s="37">
        <f>'6 Months Maintenance Plan'!E10</f>
        <v>17325</v>
      </c>
      <c r="N61" s="38">
        <f>L61+M61+(M61*$B$19)</f>
        <v>116050</v>
      </c>
      <c r="O61" s="55">
        <v>0.4</v>
      </c>
      <c r="P61" s="38">
        <f>(L61*$O$61)+L61</f>
        <v>135789.5</v>
      </c>
      <c r="Q61" s="38">
        <f>N61+(N61*$O$61)</f>
        <v>162470</v>
      </c>
      <c r="R61" s="56"/>
    </row>
    <row r="62" spans="1:18" ht="29" x14ac:dyDescent="0.35">
      <c r="A62" s="27" t="s">
        <v>170</v>
      </c>
      <c r="B62" s="34">
        <v>208</v>
      </c>
      <c r="C62" s="34">
        <v>287</v>
      </c>
      <c r="D62" s="34">
        <f>D55</f>
        <v>250</v>
      </c>
      <c r="E62" s="37">
        <f>B10</f>
        <v>100</v>
      </c>
      <c r="F62" s="37">
        <f>B11</f>
        <v>75</v>
      </c>
      <c r="G62" s="37">
        <f>B9</f>
        <v>30</v>
      </c>
      <c r="H62" s="53">
        <f>B62*E62+C62*F62+D62*G62</f>
        <v>49825</v>
      </c>
      <c r="I62" s="37">
        <f>4*3600</f>
        <v>14400</v>
      </c>
      <c r="J62" s="37">
        <f>$B$17</f>
        <v>1200</v>
      </c>
      <c r="K62" s="37">
        <f>SUM(H62:J62)</f>
        <v>65425</v>
      </c>
      <c r="L62" s="38">
        <f>K62+(K62*$B$19)</f>
        <v>71967.5</v>
      </c>
      <c r="M62" s="37">
        <f>'6 Months Maintenance Plan'!G10</f>
        <v>13695</v>
      </c>
      <c r="N62" s="38">
        <f>L62+M62+(M62*$B$19)</f>
        <v>87032</v>
      </c>
      <c r="O62" s="55">
        <v>0.4</v>
      </c>
      <c r="P62" s="38">
        <f>(L62*$O$61)+L62</f>
        <v>100754.5</v>
      </c>
      <c r="Q62" s="38">
        <f>N62+(N62*$O$61)</f>
        <v>121844.8</v>
      </c>
      <c r="R62" s="56"/>
    </row>
    <row r="64" spans="1:18" x14ac:dyDescent="0.35">
      <c r="C64" s="52"/>
    </row>
  </sheetData>
  <mergeCells count="16">
    <mergeCell ref="A59:Q59"/>
    <mergeCell ref="A51:C51"/>
    <mergeCell ref="A1:N1"/>
    <mergeCell ref="A48:C48"/>
    <mergeCell ref="A36:F36"/>
    <mergeCell ref="A54:C54"/>
    <mergeCell ref="A4:C4"/>
    <mergeCell ref="A53:C53"/>
    <mergeCell ref="A2:N2"/>
    <mergeCell ref="A49:C49"/>
    <mergeCell ref="A47:D47"/>
    <mergeCell ref="A52:C52"/>
    <mergeCell ref="A57:C57"/>
    <mergeCell ref="A50:C50"/>
    <mergeCell ref="A55:C55"/>
    <mergeCell ref="A56:C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2F2F2"/>
  </sheetPr>
  <dimension ref="A1:K10"/>
  <sheetViews>
    <sheetView showGridLines="0" tabSelected="1" workbookViewId="0">
      <selection activeCell="D12" sqref="D12"/>
    </sheetView>
  </sheetViews>
  <sheetFormatPr defaultRowHeight="14.5" x14ac:dyDescent="0.35"/>
  <cols>
    <col min="1" max="1" width="34" customWidth="1"/>
    <col min="2" max="2" width="24" customWidth="1"/>
    <col min="3" max="3" width="16" customWidth="1"/>
    <col min="4" max="4" width="15" customWidth="1"/>
    <col min="5" max="5" width="16" customWidth="1"/>
    <col min="6" max="6" width="18" customWidth="1"/>
    <col min="7" max="7" width="16.453125" customWidth="1"/>
    <col min="8" max="8" width="34.453125" customWidth="1"/>
    <col min="9" max="9" width="52.81640625" customWidth="1"/>
  </cols>
  <sheetData>
    <row r="1" spans="1:11" ht="30" customHeight="1" x14ac:dyDescent="0.35">
      <c r="A1" s="57" t="s">
        <v>172</v>
      </c>
      <c r="B1" s="58"/>
      <c r="C1" s="58"/>
      <c r="D1" s="58"/>
      <c r="E1" s="58"/>
      <c r="F1" s="58"/>
      <c r="G1" s="58"/>
      <c r="H1" s="58"/>
      <c r="I1" s="58"/>
      <c r="J1" s="58"/>
      <c r="K1" s="58"/>
    </row>
    <row r="2" spans="1:11" x14ac:dyDescent="0.35">
      <c r="A2" s="64" t="s">
        <v>173</v>
      </c>
      <c r="B2" s="58"/>
      <c r="C2" s="58"/>
      <c r="D2" s="58"/>
      <c r="E2" s="58"/>
      <c r="F2" s="58"/>
      <c r="G2" s="58"/>
      <c r="H2" s="58"/>
      <c r="I2" s="58"/>
      <c r="J2" s="58"/>
      <c r="K2" s="58"/>
    </row>
    <row r="4" spans="1:11" ht="29.15" customHeight="1" x14ac:dyDescent="0.35">
      <c r="A4" s="26" t="s">
        <v>174</v>
      </c>
      <c r="B4" s="26" t="s">
        <v>175</v>
      </c>
      <c r="C4" s="26" t="s">
        <v>176</v>
      </c>
      <c r="D4" s="26" t="s">
        <v>177</v>
      </c>
      <c r="E4" s="26" t="s">
        <v>178</v>
      </c>
      <c r="F4" s="26" t="s">
        <v>179</v>
      </c>
      <c r="G4" s="26" t="s">
        <v>180</v>
      </c>
      <c r="H4" s="26" t="s">
        <v>181</v>
      </c>
      <c r="I4" s="26" t="s">
        <v>182</v>
      </c>
    </row>
    <row r="5" spans="1:11" ht="29.15" customHeight="1" x14ac:dyDescent="0.35">
      <c r="A5" s="39" t="s">
        <v>183</v>
      </c>
      <c r="B5" s="2" t="s">
        <v>171</v>
      </c>
      <c r="C5" s="20">
        <v>66</v>
      </c>
      <c r="D5" s="8">
        <v>125</v>
      </c>
      <c r="E5" s="8">
        <f>C5*D5</f>
        <v>8250</v>
      </c>
      <c r="F5" s="8">
        <v>75</v>
      </c>
      <c r="G5" s="8">
        <f>C5*F5</f>
        <v>4950</v>
      </c>
      <c r="H5" s="2" t="s">
        <v>184</v>
      </c>
      <c r="I5" s="2" t="s">
        <v>185</v>
      </c>
    </row>
    <row r="6" spans="1:11" ht="29.15" customHeight="1" x14ac:dyDescent="0.35">
      <c r="A6" s="39" t="s">
        <v>186</v>
      </c>
      <c r="B6" s="2" t="s">
        <v>187</v>
      </c>
      <c r="C6" s="20">
        <v>250</v>
      </c>
      <c r="D6" s="8">
        <f>Estimation!B9</f>
        <v>30</v>
      </c>
      <c r="E6" s="8">
        <f>C6*D6</f>
        <v>7500</v>
      </c>
      <c r="F6" s="8">
        <f>Estimation!B9</f>
        <v>30</v>
      </c>
      <c r="G6" s="8">
        <f>C6*F6</f>
        <v>7500</v>
      </c>
      <c r="H6" s="2" t="s">
        <v>188</v>
      </c>
      <c r="I6" s="2" t="s">
        <v>189</v>
      </c>
    </row>
    <row r="8" spans="1:11" x14ac:dyDescent="0.35">
      <c r="A8" s="83" t="s">
        <v>190</v>
      </c>
      <c r="B8" s="58"/>
      <c r="C8" s="58"/>
      <c r="D8" s="58"/>
      <c r="E8" s="40">
        <f>SUM(E5:E6)</f>
        <v>15750</v>
      </c>
      <c r="G8" s="40">
        <f>SUM(G5:G6)</f>
        <v>12450</v>
      </c>
    </row>
    <row r="9" spans="1:11" x14ac:dyDescent="0.35">
      <c r="A9" s="27" t="s">
        <v>191</v>
      </c>
      <c r="E9" s="21">
        <f>E8*10%</f>
        <v>1575</v>
      </c>
      <c r="G9" s="21">
        <f>G8*10%</f>
        <v>1245</v>
      </c>
    </row>
    <row r="10" spans="1:11" x14ac:dyDescent="0.35">
      <c r="A10" s="27" t="s">
        <v>192</v>
      </c>
      <c r="E10" s="41">
        <f>E8+E9</f>
        <v>17325</v>
      </c>
      <c r="G10" s="41">
        <f>G8+G9</f>
        <v>13695</v>
      </c>
    </row>
  </sheetData>
  <mergeCells count="3">
    <mergeCell ref="A2:K2"/>
    <mergeCell ref="A1:K1"/>
    <mergeCell ref="A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ISO 20000 Estimation Inputs</vt:lpstr>
      <vt:lpstr>Estimation</vt:lpstr>
      <vt:lpstr>6 Months Maintenance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Sudhadeep Sugunadoss</dc:creator>
  <cp:keywords/>
  <dc:description/>
  <cp:lastModifiedBy>Sudhadeep Sugunadoss</cp:lastModifiedBy>
  <cp:revision/>
  <dcterms:created xsi:type="dcterms:W3CDTF">2026-08-17T12:06:03Z</dcterms:created>
  <dcterms:modified xsi:type="dcterms:W3CDTF">2026-08-18T11:54:37Z</dcterms:modified>
  <cp:category/>
  <cp:contentStatus/>
</cp:coreProperties>
</file>